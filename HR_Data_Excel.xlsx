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13A05261-329B-49B4-AA6B-3252963FDCE3}" xr6:coauthVersionLast="47" xr6:coauthVersionMax="47" xr10:uidLastSave="{00000000-0000-0000-0000-000000000000}"/>
  <bookViews>
    <workbookView xWindow="-110" yWindow="-110" windowWidth="19420" windowHeight="10300" xr2:uid="{B705A7D3-4E82-438D-B210-F2401B9BF24D}"/>
  </bookViews>
  <sheets>
    <sheet name="HR_Data" sheetId="1" r:id="rId1"/>
    <sheet name="Dept_Info" sheetId="3" r:id="rId2"/>
    <sheet name="Emp_Info" sheetId="2" r:id="rId3"/>
    <sheet name="Class_3_File" sheetId="11" r:id="rId4"/>
    <sheet name="Dashboard" sheetId="12" r:id="rId5"/>
  </sheets>
  <definedNames>
    <definedName name="_xlnm._FilterDatabase" localSheetId="1" hidden="1">Dept_Info!$A$1:$A$3</definedName>
    <definedName name="_xlnm._FilterDatabase" localSheetId="2" hidden="1">Emp_Info!$A$1:$G$101</definedName>
    <definedName name="_xlnm._FilterDatabase" localSheetId="0" hidden="1">HR_Data!$A$1:$AG$101</definedName>
    <definedName name="Emp_Data">Class_3_File!$A$1:$AF$101</definedName>
    <definedName name="Slicer_Dept_Name">#N/A</definedName>
    <definedName name="Slicer_Region">#N/A</definedName>
  </definedNames>
  <calcPr calcId="191029"/>
  <pivotCaches>
    <pivotCache cacheId="0" r:id="rId6"/>
    <pivotCache cacheId="1" r:id="rId7"/>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4" i="11" l="1"/>
  <c r="D252" i="11"/>
  <c r="D250" i="11"/>
  <c r="AD3" i="1"/>
  <c r="AE3" i="1"/>
  <c r="AD4" i="1"/>
  <c r="AE4" i="1"/>
  <c r="AD5" i="1"/>
  <c r="AE5" i="1"/>
  <c r="AD6" i="1"/>
  <c r="AE6" i="1"/>
  <c r="AD7" i="1"/>
  <c r="AE7" i="1"/>
  <c r="AD8" i="1"/>
  <c r="AE8" i="1"/>
  <c r="AD9" i="1"/>
  <c r="AE9" i="1"/>
  <c r="AD10" i="1"/>
  <c r="AE10" i="1"/>
  <c r="AD11" i="1"/>
  <c r="AE11" i="1"/>
  <c r="AD12" i="1"/>
  <c r="AE12" i="1"/>
  <c r="AD13" i="1"/>
  <c r="AE13" i="1"/>
  <c r="AD14" i="1"/>
  <c r="AE14" i="1"/>
  <c r="AD15" i="1"/>
  <c r="AE15" i="1"/>
  <c r="AD16" i="1"/>
  <c r="AE16" i="1"/>
  <c r="AD17" i="1"/>
  <c r="AE17" i="1"/>
  <c r="AD18" i="1"/>
  <c r="AE18" i="1"/>
  <c r="AD19" i="1"/>
  <c r="AE19" i="1"/>
  <c r="AD20" i="1"/>
  <c r="AE20" i="1"/>
  <c r="AD21" i="1"/>
  <c r="AE21" i="1"/>
  <c r="AD22" i="1"/>
  <c r="AE22" i="1"/>
  <c r="AD23" i="1"/>
  <c r="AE23" i="1"/>
  <c r="AD24" i="1"/>
  <c r="AE24" i="1"/>
  <c r="AD25" i="1"/>
  <c r="AE25" i="1"/>
  <c r="AD26" i="1"/>
  <c r="AE26" i="1"/>
  <c r="AD27" i="1"/>
  <c r="AE27" i="1"/>
  <c r="AD28" i="1"/>
  <c r="AE28" i="1"/>
  <c r="AD29" i="1"/>
  <c r="AE29" i="1"/>
  <c r="AD30" i="1"/>
  <c r="AE30" i="1"/>
  <c r="AD31" i="1"/>
  <c r="AE31" i="1"/>
  <c r="AD32" i="1"/>
  <c r="AE32" i="1"/>
  <c r="AD33" i="1"/>
  <c r="AE33" i="1"/>
  <c r="AD34" i="1"/>
  <c r="AE34" i="1"/>
  <c r="AD35" i="1"/>
  <c r="AE35" i="1"/>
  <c r="AD36" i="1"/>
  <c r="AE36" i="1"/>
  <c r="AD37" i="1"/>
  <c r="AE37" i="1"/>
  <c r="AD38" i="1"/>
  <c r="AE38" i="1"/>
  <c r="AD39" i="1"/>
  <c r="AE39" i="1"/>
  <c r="AD40" i="1"/>
  <c r="AE40" i="1"/>
  <c r="AD41" i="1"/>
  <c r="AE41" i="1"/>
  <c r="AD42" i="1"/>
  <c r="AE42" i="1"/>
  <c r="AD43" i="1"/>
  <c r="AE43" i="1"/>
  <c r="AD44" i="1"/>
  <c r="AE44" i="1"/>
  <c r="AD45" i="1"/>
  <c r="AE45" i="1"/>
  <c r="AD46" i="1"/>
  <c r="AE46" i="1"/>
  <c r="AD47" i="1"/>
  <c r="AE47" i="1"/>
  <c r="AD48" i="1"/>
  <c r="AE48" i="1"/>
  <c r="AD49" i="1"/>
  <c r="AE49" i="1"/>
  <c r="AD50" i="1"/>
  <c r="AE50" i="1"/>
  <c r="AD51" i="1"/>
  <c r="AE51" i="1"/>
  <c r="AD52" i="1"/>
  <c r="AE52" i="1"/>
  <c r="AD53" i="1"/>
  <c r="AE53" i="1"/>
  <c r="AD54" i="1"/>
  <c r="AE54" i="1"/>
  <c r="AD55" i="1"/>
  <c r="AE55" i="1"/>
  <c r="AD56" i="1"/>
  <c r="AE56" i="1"/>
  <c r="AD57" i="1"/>
  <c r="AE57" i="1"/>
  <c r="AD58" i="1"/>
  <c r="AE58" i="1"/>
  <c r="AD59" i="1"/>
  <c r="AE59" i="1"/>
  <c r="AD60" i="1"/>
  <c r="AE60" i="1"/>
  <c r="AD61" i="1"/>
  <c r="AE61" i="1"/>
  <c r="AD62" i="1"/>
  <c r="AE62" i="1"/>
  <c r="AD63" i="1"/>
  <c r="AE63" i="1"/>
  <c r="AD64" i="1"/>
  <c r="AE64" i="1"/>
  <c r="AD65" i="1"/>
  <c r="AE65" i="1"/>
  <c r="AD66" i="1"/>
  <c r="AE66" i="1"/>
  <c r="AD67" i="1"/>
  <c r="AE67" i="1"/>
  <c r="AD68" i="1"/>
  <c r="AE68" i="1"/>
  <c r="AD69" i="1"/>
  <c r="AE69" i="1"/>
  <c r="AD70" i="1"/>
  <c r="AE70" i="1"/>
  <c r="AD71" i="1"/>
  <c r="AE71" i="1"/>
  <c r="AD72" i="1"/>
  <c r="AE72" i="1"/>
  <c r="AD73" i="1"/>
  <c r="AE73" i="1"/>
  <c r="AD74" i="1"/>
  <c r="AE74" i="1"/>
  <c r="AD75" i="1"/>
  <c r="AE75" i="1"/>
  <c r="AD76" i="1"/>
  <c r="AE76" i="1"/>
  <c r="AD77" i="1"/>
  <c r="AE77" i="1"/>
  <c r="AD78" i="1"/>
  <c r="AE78" i="1"/>
  <c r="AD79" i="1"/>
  <c r="AE79" i="1"/>
  <c r="AD80" i="1"/>
  <c r="AE80" i="1"/>
  <c r="AD81" i="1"/>
  <c r="AE81" i="1"/>
  <c r="AD82" i="1"/>
  <c r="AE82" i="1"/>
  <c r="AD83" i="1"/>
  <c r="AE83" i="1"/>
  <c r="AD84" i="1"/>
  <c r="AE84" i="1"/>
  <c r="AD85" i="1"/>
  <c r="AE85" i="1"/>
  <c r="AD86" i="1"/>
  <c r="AE86" i="1"/>
  <c r="AD87" i="1"/>
  <c r="AE87" i="1"/>
  <c r="AD88" i="1"/>
  <c r="AE88" i="1"/>
  <c r="AD89" i="1"/>
  <c r="AE89" i="1"/>
  <c r="AD90" i="1"/>
  <c r="AE90" i="1"/>
  <c r="AD91" i="1"/>
  <c r="AE91" i="1"/>
  <c r="AD92" i="1"/>
  <c r="AE92" i="1"/>
  <c r="AD93" i="1"/>
  <c r="AE93" i="1"/>
  <c r="AD94" i="1"/>
  <c r="AE94" i="1"/>
  <c r="AD95" i="1"/>
  <c r="AE95" i="1"/>
  <c r="AD96" i="1"/>
  <c r="AE96" i="1"/>
  <c r="AD97" i="1"/>
  <c r="AE97" i="1"/>
  <c r="AD98" i="1"/>
  <c r="AE98" i="1"/>
  <c r="AD99" i="1"/>
  <c r="AE99" i="1"/>
  <c r="AD100" i="1"/>
  <c r="AE100" i="1"/>
  <c r="AD101" i="1"/>
  <c r="AE101" i="1"/>
  <c r="AE2" i="1"/>
  <c r="AD2" i="1"/>
  <c r="Y2" i="1"/>
  <c r="B142" i="1" a="1"/>
  <c r="B142" i="1" s="1"/>
  <c r="C142" i="1" s="1"/>
  <c r="AF16" i="1"/>
  <c r="AF46" i="1"/>
  <c r="AF78" i="1"/>
  <c r="AF54" i="1"/>
  <c r="AF60" i="1"/>
  <c r="AF99" i="1"/>
  <c r="AF94" i="1"/>
  <c r="AF101" i="1"/>
  <c r="AF67" i="1"/>
  <c r="AF77" i="1"/>
  <c r="AF88" i="1"/>
  <c r="AF87" i="1"/>
  <c r="AF89" i="1"/>
  <c r="AF91" i="1"/>
  <c r="AF92" i="1"/>
  <c r="AF2" i="1"/>
  <c r="AF41" i="1"/>
  <c r="AF8" i="1"/>
  <c r="AF10" i="1"/>
  <c r="AF31" i="1"/>
  <c r="AF19" i="1"/>
  <c r="AF56" i="1"/>
  <c r="AF50" i="1"/>
  <c r="AF57" i="1"/>
  <c r="AF24" i="1"/>
  <c r="AF62" i="1"/>
  <c r="AF61" i="1"/>
  <c r="AF63" i="1"/>
  <c r="AF75" i="1"/>
  <c r="AF58" i="1"/>
  <c r="AF70" i="1"/>
  <c r="AF65" i="1"/>
  <c r="AF14" i="1"/>
  <c r="AF72" i="1"/>
  <c r="AF36" i="1"/>
  <c r="AF44" i="1"/>
  <c r="AF86" i="1"/>
  <c r="AF98" i="1"/>
  <c r="AF81" i="1"/>
  <c r="AF83" i="1"/>
  <c r="AF79" i="1"/>
  <c r="AF71" i="1"/>
  <c r="AF90" i="1"/>
  <c r="AF100" i="1"/>
  <c r="AF52" i="1"/>
  <c r="AF17" i="1"/>
  <c r="AF3" i="1"/>
  <c r="AF27" i="1"/>
  <c r="AF42" i="1"/>
  <c r="AF48" i="1"/>
  <c r="AF11" i="1"/>
  <c r="AF32" i="1"/>
  <c r="AF7" i="1"/>
  <c r="AF20" i="1"/>
  <c r="AF69" i="1"/>
  <c r="AF37" i="1"/>
  <c r="AF28" i="1"/>
  <c r="AF64" i="1"/>
  <c r="AF15" i="1"/>
  <c r="AF55" i="1"/>
  <c r="AF21" i="1"/>
  <c r="AF84" i="1"/>
  <c r="AF74" i="1"/>
  <c r="AF95" i="1"/>
  <c r="AF93" i="1"/>
  <c r="AF97" i="1"/>
  <c r="AF82" i="1"/>
  <c r="AF6" i="1"/>
  <c r="AF18" i="1"/>
  <c r="AF33" i="1"/>
  <c r="AF5" i="1"/>
  <c r="AF43" i="1"/>
  <c r="AF47" i="1"/>
  <c r="AF49" i="1"/>
  <c r="AF30" i="1"/>
  <c r="AF25" i="1"/>
  <c r="AF34" i="1"/>
  <c r="AF59" i="1"/>
  <c r="AF66" i="1"/>
  <c r="AF73" i="1"/>
  <c r="AF53" i="1"/>
  <c r="AF76" i="1"/>
  <c r="AF68" i="1"/>
  <c r="AF4" i="1"/>
  <c r="AF45" i="1"/>
  <c r="AF39" i="1"/>
  <c r="AF29" i="1"/>
  <c r="AF22" i="1"/>
  <c r="AF13" i="1"/>
  <c r="AF9" i="1"/>
  <c r="AF26" i="1"/>
  <c r="AF23" i="1"/>
  <c r="AF12" i="1"/>
  <c r="AF40" i="1"/>
  <c r="AF51" i="1"/>
  <c r="AF38" i="1"/>
  <c r="AF80" i="1"/>
  <c r="AF85" i="1"/>
  <c r="AF96" i="1"/>
  <c r="AF35" i="1"/>
  <c r="AC35" i="1"/>
  <c r="AC16" i="1"/>
  <c r="AC46" i="1"/>
  <c r="AC78" i="1"/>
  <c r="AC54" i="1"/>
  <c r="AC60" i="1"/>
  <c r="AC99" i="1"/>
  <c r="AC94" i="1"/>
  <c r="AC101" i="1"/>
  <c r="AC67" i="1"/>
  <c r="AC77" i="1"/>
  <c r="AC88" i="1"/>
  <c r="AC87" i="1"/>
  <c r="AC89" i="1"/>
  <c r="AC91" i="1"/>
  <c r="AC92" i="1"/>
  <c r="AC2" i="1"/>
  <c r="AC41" i="1"/>
  <c r="AC8" i="1"/>
  <c r="AC10" i="1"/>
  <c r="AC31" i="1"/>
  <c r="AC19" i="1"/>
  <c r="AC56" i="1"/>
  <c r="AC50" i="1"/>
  <c r="AC57" i="1"/>
  <c r="AC24" i="1"/>
  <c r="AC62" i="1"/>
  <c r="AC61" i="1"/>
  <c r="AC63" i="1"/>
  <c r="AC75" i="1"/>
  <c r="AC58" i="1"/>
  <c r="AC70" i="1"/>
  <c r="AC65" i="1"/>
  <c r="AC14" i="1"/>
  <c r="AC72" i="1"/>
  <c r="AC36" i="1"/>
  <c r="AC44" i="1"/>
  <c r="AC86" i="1"/>
  <c r="AC98" i="1"/>
  <c r="AC81" i="1"/>
  <c r="AC83" i="1"/>
  <c r="AC79" i="1"/>
  <c r="AC71" i="1"/>
  <c r="AC90" i="1"/>
  <c r="AC100" i="1"/>
  <c r="AC52" i="1"/>
  <c r="AC17" i="1"/>
  <c r="AC3" i="1"/>
  <c r="AC27" i="1"/>
  <c r="AC42" i="1"/>
  <c r="AC48" i="1"/>
  <c r="AC11" i="1"/>
  <c r="AC32" i="1"/>
  <c r="AC7" i="1"/>
  <c r="AC20" i="1"/>
  <c r="AC69" i="1"/>
  <c r="AC37" i="1"/>
  <c r="AC28" i="1"/>
  <c r="AC64" i="1"/>
  <c r="AC15" i="1"/>
  <c r="AC55" i="1"/>
  <c r="AC21" i="1"/>
  <c r="AC84" i="1"/>
  <c r="AC74" i="1"/>
  <c r="AC95" i="1"/>
  <c r="AC93" i="1"/>
  <c r="AC97" i="1"/>
  <c r="AC82" i="1"/>
  <c r="AC6" i="1"/>
  <c r="AC18" i="1"/>
  <c r="AC33" i="1"/>
  <c r="AC5" i="1"/>
  <c r="AC43" i="1"/>
  <c r="AC47" i="1"/>
  <c r="AC49" i="1"/>
  <c r="AC30" i="1"/>
  <c r="AC25" i="1"/>
  <c r="AC34" i="1"/>
  <c r="AC59" i="1"/>
  <c r="AC66" i="1"/>
  <c r="AC73" i="1"/>
  <c r="AC53" i="1"/>
  <c r="AC76" i="1"/>
  <c r="AC68" i="1"/>
  <c r="AC4" i="1"/>
  <c r="AC45" i="1"/>
  <c r="AC39" i="1"/>
  <c r="AC29" i="1"/>
  <c r="AC22" i="1"/>
  <c r="AC13" i="1"/>
  <c r="AC9" i="1"/>
  <c r="AC26" i="1"/>
  <c r="AC23" i="1"/>
  <c r="AC12" i="1"/>
  <c r="AC40" i="1"/>
  <c r="AC51" i="1"/>
  <c r="AC38" i="1"/>
  <c r="AC80" i="1"/>
  <c r="AC85" i="1"/>
  <c r="AC96" i="1"/>
  <c r="Y35" i="1"/>
  <c r="AA8" i="1"/>
  <c r="AA3" i="1"/>
  <c r="AA16" i="1"/>
  <c r="AA7" i="1"/>
  <c r="AA6" i="1"/>
  <c r="AA2" i="1"/>
  <c r="AA11" i="1"/>
  <c r="AA9" i="1"/>
  <c r="AA15" i="1"/>
  <c r="AA4" i="1"/>
  <c r="AA14" i="1"/>
  <c r="AA12" i="1"/>
  <c r="AA10" i="1"/>
  <c r="AA13" i="1"/>
  <c r="AA21" i="1"/>
  <c r="AA19" i="1"/>
  <c r="AA20" i="1"/>
  <c r="AA32" i="1"/>
  <c r="AA56" i="1"/>
  <c r="AA78" i="1"/>
  <c r="AA69" i="1"/>
  <c r="AA23" i="1"/>
  <c r="AA98" i="1"/>
  <c r="AA88" i="1"/>
  <c r="AA17" i="1"/>
  <c r="AA73" i="1"/>
  <c r="AA40" i="1"/>
  <c r="AA95" i="1"/>
  <c r="AA62" i="1"/>
  <c r="AA86" i="1"/>
  <c r="AA30" i="1"/>
  <c r="AA101" i="1"/>
  <c r="AA80" i="1"/>
  <c r="AA75" i="1"/>
  <c r="AA84" i="1"/>
  <c r="AA43" i="1"/>
  <c r="AA54" i="1"/>
  <c r="AA81" i="1"/>
  <c r="AA52" i="1"/>
  <c r="AA70" i="1"/>
  <c r="AA25" i="1"/>
  <c r="AA92" i="1"/>
  <c r="AA29" i="1"/>
  <c r="AA64" i="1"/>
  <c r="AA41" i="1"/>
  <c r="AA90" i="1"/>
  <c r="AA34" i="1"/>
  <c r="AA27" i="1"/>
  <c r="AA96" i="1"/>
  <c r="AA50" i="1"/>
  <c r="AA76" i="1"/>
  <c r="AA87" i="1"/>
  <c r="AA39" i="1"/>
  <c r="AA72" i="1"/>
  <c r="AA61" i="1"/>
  <c r="AA93" i="1"/>
  <c r="AA99" i="1"/>
  <c r="AA22" i="1"/>
  <c r="AA55" i="1"/>
  <c r="AA36" i="1"/>
  <c r="AA66" i="1"/>
  <c r="AA89" i="1"/>
  <c r="AA42" i="1"/>
  <c r="AA85" i="1"/>
  <c r="AA58" i="1"/>
  <c r="AA97" i="1"/>
  <c r="AA18" i="1"/>
  <c r="AA46" i="1"/>
  <c r="AA83" i="1"/>
  <c r="AA48" i="1"/>
  <c r="AA65" i="1"/>
  <c r="AA59" i="1"/>
  <c r="AA91" i="1"/>
  <c r="AA45" i="1"/>
  <c r="AA37" i="1"/>
  <c r="AA63" i="1"/>
  <c r="AA79" i="1"/>
  <c r="AA47" i="1"/>
  <c r="AA94" i="1"/>
  <c r="AA51" i="1"/>
  <c r="AA74" i="1"/>
  <c r="AA53" i="1"/>
  <c r="AA67" i="1"/>
  <c r="AA44" i="1"/>
  <c r="AA31" i="1"/>
  <c r="AA49" i="1"/>
  <c r="AA77" i="1"/>
  <c r="AA38" i="1"/>
  <c r="AA28" i="1"/>
  <c r="AA57" i="1"/>
  <c r="AA100" i="1"/>
  <c r="AA33" i="1"/>
  <c r="AA60" i="1"/>
  <c r="AA26" i="1"/>
  <c r="AA68" i="1"/>
  <c r="AA35" i="1"/>
  <c r="AA71" i="1"/>
  <c r="AA24" i="1"/>
  <c r="AA82" i="1"/>
  <c r="AA5" i="1"/>
  <c r="Y8" i="1"/>
  <c r="Y3" i="1"/>
  <c r="Y16" i="1"/>
  <c r="Y7" i="1"/>
  <c r="Y6" i="1"/>
  <c r="Y11" i="1"/>
  <c r="Y9" i="1"/>
  <c r="Y15" i="1"/>
  <c r="Y4" i="1"/>
  <c r="Y14" i="1"/>
  <c r="Y12" i="1"/>
  <c r="Y10" i="1"/>
  <c r="Y13" i="1"/>
  <c r="Y21" i="1"/>
  <c r="Y19" i="1"/>
  <c r="Y20" i="1"/>
  <c r="Y32" i="1"/>
  <c r="Y56" i="1"/>
  <c r="Y78" i="1"/>
  <c r="Y69" i="1"/>
  <c r="Y23" i="1"/>
  <c r="Y98" i="1"/>
  <c r="Y88" i="1"/>
  <c r="Y17" i="1"/>
  <c r="Y73" i="1"/>
  <c r="Y40" i="1"/>
  <c r="Y95" i="1"/>
  <c r="Y62" i="1"/>
  <c r="Y86" i="1"/>
  <c r="Y30" i="1"/>
  <c r="Y101" i="1"/>
  <c r="Y80" i="1"/>
  <c r="Y75" i="1"/>
  <c r="Y84" i="1"/>
  <c r="Y43" i="1"/>
  <c r="Y54" i="1"/>
  <c r="Y81" i="1"/>
  <c r="Y52" i="1"/>
  <c r="Y70" i="1"/>
  <c r="Y25" i="1"/>
  <c r="Y92" i="1"/>
  <c r="Y29" i="1"/>
  <c r="Y64" i="1"/>
  <c r="Y41" i="1"/>
  <c r="Y90" i="1"/>
  <c r="Y34" i="1"/>
  <c r="Y27" i="1"/>
  <c r="Y96" i="1"/>
  <c r="Y50" i="1"/>
  <c r="Y76" i="1"/>
  <c r="Y87" i="1"/>
  <c r="Y39" i="1"/>
  <c r="Y72" i="1"/>
  <c r="Y61" i="1"/>
  <c r="Y93" i="1"/>
  <c r="Y99" i="1"/>
  <c r="Y22" i="1"/>
  <c r="Y55" i="1"/>
  <c r="Y36" i="1"/>
  <c r="Y66" i="1"/>
  <c r="Y89" i="1"/>
  <c r="Y42" i="1"/>
  <c r="Y85" i="1"/>
  <c r="Y58" i="1"/>
  <c r="Y97" i="1"/>
  <c r="Y18" i="1"/>
  <c r="Y46" i="1"/>
  <c r="Y83" i="1"/>
  <c r="Y48" i="1"/>
  <c r="Y65" i="1"/>
  <c r="Y59" i="1"/>
  <c r="Y91" i="1"/>
  <c r="Y45" i="1"/>
  <c r="Y37" i="1"/>
  <c r="Y63" i="1"/>
  <c r="Y79" i="1"/>
  <c r="Y47" i="1"/>
  <c r="Y94" i="1"/>
  <c r="Y51" i="1"/>
  <c r="Y74" i="1"/>
  <c r="Y53" i="1"/>
  <c r="Y67" i="1"/>
  <c r="Y44" i="1"/>
  <c r="Y31" i="1"/>
  <c r="Y49" i="1"/>
  <c r="Y77" i="1"/>
  <c r="Y38" i="1"/>
  <c r="Y28" i="1"/>
  <c r="Y57" i="1"/>
  <c r="Y100" i="1"/>
  <c r="Y33" i="1"/>
  <c r="Y60" i="1"/>
  <c r="Y26" i="1"/>
  <c r="Y68" i="1"/>
  <c r="Y71" i="1"/>
  <c r="Y24" i="1"/>
  <c r="Y82" i="1"/>
  <c r="Y5" i="1"/>
  <c r="V8" i="1"/>
  <c r="V3" i="1"/>
  <c r="V16" i="1"/>
  <c r="V7" i="1"/>
  <c r="V6" i="1"/>
  <c r="V2" i="1"/>
  <c r="V11" i="1"/>
  <c r="V9" i="1"/>
  <c r="V15" i="1"/>
  <c r="V4" i="1"/>
  <c r="V14" i="1"/>
  <c r="V12" i="1"/>
  <c r="V10" i="1"/>
  <c r="V13" i="1"/>
  <c r="V21" i="1"/>
  <c r="V19" i="1"/>
  <c r="V20" i="1"/>
  <c r="V32" i="1"/>
  <c r="V56" i="1"/>
  <c r="V78" i="1"/>
  <c r="V69" i="1"/>
  <c r="V23" i="1"/>
  <c r="V98" i="1"/>
  <c r="V88" i="1"/>
  <c r="V17" i="1"/>
  <c r="V73" i="1"/>
  <c r="V40" i="1"/>
  <c r="V95" i="1"/>
  <c r="V62" i="1"/>
  <c r="V86" i="1"/>
  <c r="V30" i="1"/>
  <c r="V101" i="1"/>
  <c r="V80" i="1"/>
  <c r="V75" i="1"/>
  <c r="V84" i="1"/>
  <c r="V43" i="1"/>
  <c r="V54" i="1"/>
  <c r="V81" i="1"/>
  <c r="V52" i="1"/>
  <c r="V70" i="1"/>
  <c r="V25" i="1"/>
  <c r="V92" i="1"/>
  <c r="V29" i="1"/>
  <c r="V64" i="1"/>
  <c r="V41" i="1"/>
  <c r="V90" i="1"/>
  <c r="V34" i="1"/>
  <c r="V27" i="1"/>
  <c r="V96" i="1"/>
  <c r="V50" i="1"/>
  <c r="V76" i="1"/>
  <c r="V87" i="1"/>
  <c r="V39" i="1"/>
  <c r="V72" i="1"/>
  <c r="V61" i="1"/>
  <c r="V93" i="1"/>
  <c r="V99" i="1"/>
  <c r="V22" i="1"/>
  <c r="V55" i="1"/>
  <c r="V36" i="1"/>
  <c r="V66" i="1"/>
  <c r="V89" i="1"/>
  <c r="V42" i="1"/>
  <c r="V85" i="1"/>
  <c r="V58" i="1"/>
  <c r="V97" i="1"/>
  <c r="V18" i="1"/>
  <c r="V46" i="1"/>
  <c r="V83" i="1"/>
  <c r="V48" i="1"/>
  <c r="V65" i="1"/>
  <c r="V59" i="1"/>
  <c r="V91" i="1"/>
  <c r="V45" i="1"/>
  <c r="V37" i="1"/>
  <c r="V63" i="1"/>
  <c r="V79" i="1"/>
  <c r="V47" i="1"/>
  <c r="V94" i="1"/>
  <c r="V51" i="1"/>
  <c r="V74" i="1"/>
  <c r="V53" i="1"/>
  <c r="V67" i="1"/>
  <c r="V44" i="1"/>
  <c r="V31" i="1"/>
  <c r="V49" i="1"/>
  <c r="V77" i="1"/>
  <c r="V38" i="1"/>
  <c r="V28" i="1"/>
  <c r="V57" i="1"/>
  <c r="V100" i="1"/>
  <c r="V33" i="1"/>
  <c r="V60" i="1"/>
  <c r="V26" i="1"/>
  <c r="V68" i="1"/>
  <c r="V35" i="1"/>
  <c r="V71" i="1"/>
  <c r="V24" i="1"/>
  <c r="V82" i="1"/>
  <c r="U5" i="1"/>
  <c r="U8" i="1"/>
  <c r="U3" i="1"/>
  <c r="U16" i="1"/>
  <c r="U7" i="1"/>
  <c r="U6" i="1"/>
  <c r="U2" i="1"/>
  <c r="U11" i="1"/>
  <c r="U9" i="1"/>
  <c r="U15" i="1"/>
  <c r="U4" i="1"/>
  <c r="U14" i="1"/>
  <c r="U12" i="1"/>
  <c r="U10" i="1"/>
  <c r="U13" i="1"/>
  <c r="U21" i="1"/>
  <c r="U19" i="1"/>
  <c r="U20" i="1"/>
  <c r="U32" i="1"/>
  <c r="U56" i="1"/>
  <c r="U78" i="1"/>
  <c r="U69" i="1"/>
  <c r="U23" i="1"/>
  <c r="U98" i="1"/>
  <c r="U88" i="1"/>
  <c r="U17" i="1"/>
  <c r="U73" i="1"/>
  <c r="U40" i="1"/>
  <c r="U95" i="1"/>
  <c r="U62" i="1"/>
  <c r="U86" i="1"/>
  <c r="U30" i="1"/>
  <c r="U101" i="1"/>
  <c r="U80" i="1"/>
  <c r="U75" i="1"/>
  <c r="U84" i="1"/>
  <c r="U43" i="1"/>
  <c r="U54" i="1"/>
  <c r="U81" i="1"/>
  <c r="U52" i="1"/>
  <c r="U70" i="1"/>
  <c r="U25" i="1"/>
  <c r="U92" i="1"/>
  <c r="U29" i="1"/>
  <c r="U64" i="1"/>
  <c r="U41" i="1"/>
  <c r="U90" i="1"/>
  <c r="U34" i="1"/>
  <c r="U27" i="1"/>
  <c r="U96" i="1"/>
  <c r="U50" i="1"/>
  <c r="U76" i="1"/>
  <c r="U87" i="1"/>
  <c r="U39" i="1"/>
  <c r="U72" i="1"/>
  <c r="U61" i="1"/>
  <c r="U93" i="1"/>
  <c r="U99" i="1"/>
  <c r="U22" i="1"/>
  <c r="U55" i="1"/>
  <c r="U36" i="1"/>
  <c r="U66" i="1"/>
  <c r="U89" i="1"/>
  <c r="U42" i="1"/>
  <c r="U85" i="1"/>
  <c r="U58" i="1"/>
  <c r="U97" i="1"/>
  <c r="U18" i="1"/>
  <c r="U46" i="1"/>
  <c r="U83" i="1"/>
  <c r="U48" i="1"/>
  <c r="U65" i="1"/>
  <c r="U59" i="1"/>
  <c r="U91" i="1"/>
  <c r="U45" i="1"/>
  <c r="U37" i="1"/>
  <c r="U63" i="1"/>
  <c r="U79" i="1"/>
  <c r="U47" i="1"/>
  <c r="U94" i="1"/>
  <c r="U51" i="1"/>
  <c r="U74" i="1"/>
  <c r="U53" i="1"/>
  <c r="U67" i="1"/>
  <c r="U44" i="1"/>
  <c r="U31" i="1"/>
  <c r="U49" i="1"/>
  <c r="U77" i="1"/>
  <c r="U38" i="1"/>
  <c r="U28" i="1"/>
  <c r="U57" i="1"/>
  <c r="U100" i="1"/>
  <c r="U33" i="1"/>
  <c r="U60" i="1"/>
  <c r="U26" i="1"/>
  <c r="U68" i="1"/>
  <c r="U35" i="1"/>
  <c r="U71" i="1"/>
  <c r="U24" i="1"/>
  <c r="U82" i="1"/>
  <c r="V5" i="1"/>
  <c r="L128" i="1"/>
  <c r="L127" i="1"/>
  <c r="L126" i="1"/>
  <c r="L125" i="1"/>
  <c r="L124" i="1"/>
  <c r="L123" i="1"/>
  <c r="L122" i="1"/>
  <c r="L121" i="1"/>
  <c r="L120" i="1"/>
  <c r="L119" i="1"/>
  <c r="L118" i="1"/>
  <c r="B111" i="1"/>
  <c r="B109" i="1"/>
  <c r="L5" i="1"/>
  <c r="L8" i="1"/>
  <c r="L3" i="1"/>
  <c r="L12" i="1"/>
  <c r="L16" i="1"/>
  <c r="L7" i="1"/>
  <c r="L6" i="1"/>
  <c r="L10" i="1"/>
  <c r="L13" i="1"/>
  <c r="L2" i="1"/>
  <c r="L11" i="1"/>
  <c r="L9" i="1"/>
  <c r="L21" i="1"/>
  <c r="L15" i="1"/>
  <c r="L19" i="1"/>
  <c r="L20" i="1"/>
  <c r="L4" i="1"/>
  <c r="L32" i="1"/>
  <c r="L56" i="1"/>
  <c r="L78" i="1"/>
  <c r="L69" i="1"/>
  <c r="L23" i="1"/>
  <c r="L98" i="1"/>
  <c r="L88" i="1"/>
  <c r="L17" i="1"/>
  <c r="L73" i="1"/>
  <c r="L40" i="1"/>
  <c r="L95" i="1"/>
  <c r="L62" i="1"/>
  <c r="L86" i="1"/>
  <c r="L30" i="1"/>
  <c r="L101" i="1"/>
  <c r="L80" i="1"/>
  <c r="L75" i="1"/>
  <c r="L84" i="1"/>
  <c r="L43" i="1"/>
  <c r="L54" i="1"/>
  <c r="L81" i="1"/>
  <c r="L52" i="1"/>
  <c r="L70" i="1"/>
  <c r="L25" i="1"/>
  <c r="L92" i="1"/>
  <c r="L29" i="1"/>
  <c r="L64" i="1"/>
  <c r="L41" i="1"/>
  <c r="L90" i="1"/>
  <c r="L34" i="1"/>
  <c r="L27" i="1"/>
  <c r="L96" i="1"/>
  <c r="L50" i="1"/>
  <c r="L76" i="1"/>
  <c r="L87" i="1"/>
  <c r="L39" i="1"/>
  <c r="L72" i="1"/>
  <c r="L61" i="1"/>
  <c r="L93" i="1"/>
  <c r="L99" i="1"/>
  <c r="L22" i="1"/>
  <c r="L55" i="1"/>
  <c r="L36" i="1"/>
  <c r="L66" i="1"/>
  <c r="L89" i="1"/>
  <c r="L42" i="1"/>
  <c r="L85" i="1"/>
  <c r="L58" i="1"/>
  <c r="L97" i="1"/>
  <c r="L18" i="1"/>
  <c r="L46" i="1"/>
  <c r="L83" i="1"/>
  <c r="L48" i="1"/>
  <c r="L65" i="1"/>
  <c r="L59" i="1"/>
  <c r="L91" i="1"/>
  <c r="L45" i="1"/>
  <c r="L37" i="1"/>
  <c r="L63" i="1"/>
  <c r="L79" i="1"/>
  <c r="L47" i="1"/>
  <c r="L94" i="1"/>
  <c r="L51" i="1"/>
  <c r="L74" i="1"/>
  <c r="L53" i="1"/>
  <c r="L67" i="1"/>
  <c r="L44" i="1"/>
  <c r="L31" i="1"/>
  <c r="L49" i="1"/>
  <c r="L77" i="1"/>
  <c r="L38" i="1"/>
  <c r="L28" i="1"/>
  <c r="L57" i="1"/>
  <c r="L100" i="1"/>
  <c r="L33" i="1"/>
  <c r="L60" i="1"/>
  <c r="L26" i="1"/>
  <c r="L68" i="1"/>
  <c r="L35" i="1"/>
  <c r="L71" i="1"/>
  <c r="L24" i="1"/>
  <c r="L82" i="1"/>
  <c r="L14" i="1"/>
  <c r="B154" i="1" l="1" a="1"/>
  <c r="D157" i="1" s="1"/>
  <c r="C146" i="1"/>
  <c r="C145" i="1"/>
  <c r="C144" i="1"/>
  <c r="C143" i="1"/>
  <c r="Z16" i="1"/>
  <c r="Z35" i="1"/>
  <c r="Z89" i="1"/>
  <c r="Z12" i="1"/>
  <c r="Z24" i="1"/>
  <c r="Z31" i="1"/>
  <c r="Z91" i="1"/>
  <c r="Z66" i="1"/>
  <c r="Z96" i="1"/>
  <c r="Z54" i="1"/>
  <c r="Z17" i="1"/>
  <c r="Z8" i="1"/>
  <c r="Z71" i="1"/>
  <c r="Z44" i="1"/>
  <c r="Z27" i="1"/>
  <c r="Z11" i="1"/>
  <c r="X71" i="1"/>
  <c r="X31" i="1"/>
  <c r="X91" i="1"/>
  <c r="X66" i="1"/>
  <c r="X96" i="1"/>
  <c r="X54" i="1"/>
  <c r="X17" i="1"/>
  <c r="X10" i="1"/>
  <c r="X8" i="1"/>
  <c r="Z33" i="1"/>
  <c r="Z51" i="1"/>
  <c r="Z46" i="1"/>
  <c r="Z93" i="1"/>
  <c r="Z64" i="1"/>
  <c r="Z101" i="1"/>
  <c r="Z78" i="1"/>
  <c r="W35" i="1"/>
  <c r="W44" i="1"/>
  <c r="W59" i="1"/>
  <c r="W36" i="1"/>
  <c r="W27" i="1"/>
  <c r="W43" i="1"/>
  <c r="W88" i="1"/>
  <c r="W12" i="1"/>
  <c r="W68" i="1"/>
  <c r="W67" i="1"/>
  <c r="W65" i="1"/>
  <c r="W55" i="1"/>
  <c r="W34" i="1"/>
  <c r="W84" i="1"/>
  <c r="W98" i="1"/>
  <c r="W14" i="1"/>
  <c r="Z94" i="1"/>
  <c r="Z61" i="1"/>
  <c r="Z30" i="1"/>
  <c r="W37" i="1"/>
  <c r="W42" i="1"/>
  <c r="W76" i="1"/>
  <c r="W21" i="1"/>
  <c r="Z57" i="1"/>
  <c r="Z47" i="1"/>
  <c r="Z97" i="1"/>
  <c r="Z72" i="1"/>
  <c r="Z92" i="1"/>
  <c r="Z86" i="1"/>
  <c r="Z32" i="1"/>
  <c r="X5" i="1"/>
  <c r="Z100" i="1"/>
  <c r="Z18" i="1"/>
  <c r="Z29" i="1"/>
  <c r="Z56" i="1"/>
  <c r="Z28" i="1"/>
  <c r="Z79" i="1"/>
  <c r="Z58" i="1"/>
  <c r="Z39" i="1"/>
  <c r="Z25" i="1"/>
  <c r="Z62" i="1"/>
  <c r="Z77" i="1"/>
  <c r="Z37" i="1"/>
  <c r="Z42" i="1"/>
  <c r="Z76" i="1"/>
  <c r="Z52" i="1"/>
  <c r="Z40" i="1"/>
  <c r="Z49" i="1"/>
  <c r="Z50" i="1"/>
  <c r="Z81" i="1"/>
  <c r="Z73" i="1"/>
  <c r="Z3" i="1"/>
  <c r="Z13" i="1"/>
  <c r="Z45" i="1"/>
  <c r="Z68" i="1"/>
  <c r="Z67" i="1"/>
  <c r="Z65" i="1"/>
  <c r="Z55" i="1"/>
  <c r="Z34" i="1"/>
  <c r="Z84" i="1"/>
  <c r="Z98" i="1"/>
  <c r="Z14" i="1"/>
  <c r="Z26" i="1"/>
  <c r="Z53" i="1"/>
  <c r="Z48" i="1"/>
  <c r="Z22" i="1"/>
  <c r="Z90" i="1"/>
  <c r="Z75" i="1"/>
  <c r="Z23" i="1"/>
  <c r="Z4" i="1"/>
  <c r="Z10" i="1"/>
  <c r="W16" i="1"/>
  <c r="Z59" i="1"/>
  <c r="Z36" i="1"/>
  <c r="Z43" i="1"/>
  <c r="Z88" i="1"/>
  <c r="Z60" i="1"/>
  <c r="Z74" i="1"/>
  <c r="Z83" i="1"/>
  <c r="Z99" i="1"/>
  <c r="Z41" i="1"/>
  <c r="Z80" i="1"/>
  <c r="Z69" i="1"/>
  <c r="Z15" i="1"/>
  <c r="Z2" i="1"/>
  <c r="Z20" i="1"/>
  <c r="Z6" i="1"/>
  <c r="Z38" i="1"/>
  <c r="Z63" i="1"/>
  <c r="Z85" i="1"/>
  <c r="Z87" i="1"/>
  <c r="Z70" i="1"/>
  <c r="Z95" i="1"/>
  <c r="Z19" i="1"/>
  <c r="Z7" i="1"/>
  <c r="X57" i="1"/>
  <c r="X47" i="1"/>
  <c r="X97" i="1"/>
  <c r="X72" i="1"/>
  <c r="X92" i="1"/>
  <c r="X86" i="1"/>
  <c r="X32" i="1"/>
  <c r="X2" i="1"/>
  <c r="Z5" i="1"/>
  <c r="Z21" i="1"/>
  <c r="Z82" i="1"/>
  <c r="Z9" i="1"/>
  <c r="W82" i="1"/>
  <c r="W77" i="1"/>
  <c r="W26" i="1"/>
  <c r="W53" i="1"/>
  <c r="W48" i="1"/>
  <c r="W22" i="1"/>
  <c r="W90" i="1"/>
  <c r="W75" i="1"/>
  <c r="W23" i="1"/>
  <c r="W4" i="1"/>
  <c r="W60" i="1"/>
  <c r="W74" i="1"/>
  <c r="W83" i="1"/>
  <c r="W99" i="1"/>
  <c r="W41" i="1"/>
  <c r="W80" i="1"/>
  <c r="W69" i="1"/>
  <c r="W15" i="1"/>
  <c r="X33" i="1"/>
  <c r="X51" i="1"/>
  <c r="X46" i="1"/>
  <c r="X93" i="1"/>
  <c r="X64" i="1"/>
  <c r="X101" i="1"/>
  <c r="X78" i="1"/>
  <c r="X9" i="1"/>
  <c r="X100" i="1"/>
  <c r="X94" i="1"/>
  <c r="X18" i="1"/>
  <c r="X61" i="1"/>
  <c r="X29" i="1"/>
  <c r="X30" i="1"/>
  <c r="X56" i="1"/>
  <c r="X11" i="1"/>
  <c r="X28" i="1"/>
  <c r="X79" i="1"/>
  <c r="X58" i="1"/>
  <c r="X39" i="1"/>
  <c r="X25" i="1"/>
  <c r="X62" i="1"/>
  <c r="X20" i="1"/>
  <c r="X6" i="1"/>
  <c r="X38" i="1"/>
  <c r="X63" i="1"/>
  <c r="X85" i="1"/>
  <c r="X87" i="1"/>
  <c r="X70" i="1"/>
  <c r="X95" i="1"/>
  <c r="X19" i="1"/>
  <c r="X7" i="1"/>
  <c r="X82" i="1"/>
  <c r="X77" i="1"/>
  <c r="X37" i="1"/>
  <c r="X42" i="1"/>
  <c r="X76" i="1"/>
  <c r="X52" i="1"/>
  <c r="X40" i="1"/>
  <c r="X21" i="1"/>
  <c r="X16" i="1"/>
  <c r="W52" i="1"/>
  <c r="X24" i="1"/>
  <c r="X49" i="1"/>
  <c r="X45" i="1"/>
  <c r="X89" i="1"/>
  <c r="X50" i="1"/>
  <c r="X81" i="1"/>
  <c r="X73" i="1"/>
  <c r="X13" i="1"/>
  <c r="X3" i="1"/>
  <c r="W40" i="1"/>
  <c r="W33" i="1"/>
  <c r="W51" i="1"/>
  <c r="W46" i="1"/>
  <c r="W93" i="1"/>
  <c r="W64" i="1"/>
  <c r="W101" i="1"/>
  <c r="W78" i="1"/>
  <c r="W9" i="1"/>
  <c r="X35" i="1"/>
  <c r="X44" i="1"/>
  <c r="X59" i="1"/>
  <c r="X36" i="1"/>
  <c r="X27" i="1"/>
  <c r="X43" i="1"/>
  <c r="X88" i="1"/>
  <c r="X12" i="1"/>
  <c r="W100" i="1"/>
  <c r="W94" i="1"/>
  <c r="W18" i="1"/>
  <c r="W61" i="1"/>
  <c r="W29" i="1"/>
  <c r="W30" i="1"/>
  <c r="W56" i="1"/>
  <c r="W11" i="1"/>
  <c r="X68" i="1"/>
  <c r="X67" i="1"/>
  <c r="X65" i="1"/>
  <c r="X55" i="1"/>
  <c r="X34" i="1"/>
  <c r="X84" i="1"/>
  <c r="X98" i="1"/>
  <c r="X14" i="1"/>
  <c r="W57" i="1"/>
  <c r="W47" i="1"/>
  <c r="W97" i="1"/>
  <c r="W72" i="1"/>
  <c r="W92" i="1"/>
  <c r="W86" i="1"/>
  <c r="W32" i="1"/>
  <c r="W2" i="1"/>
  <c r="X26" i="1"/>
  <c r="X53" i="1"/>
  <c r="X48" i="1"/>
  <c r="X22" i="1"/>
  <c r="X90" i="1"/>
  <c r="X75" i="1"/>
  <c r="X23" i="1"/>
  <c r="X4" i="1"/>
  <c r="W28" i="1"/>
  <c r="W79" i="1"/>
  <c r="W58" i="1"/>
  <c r="W39" i="1"/>
  <c r="W25" i="1"/>
  <c r="W62" i="1"/>
  <c r="W20" i="1"/>
  <c r="W6" i="1"/>
  <c r="X60" i="1"/>
  <c r="X74" i="1"/>
  <c r="X83" i="1"/>
  <c r="X99" i="1"/>
  <c r="X41" i="1"/>
  <c r="X80" i="1"/>
  <c r="X69" i="1"/>
  <c r="X15" i="1"/>
  <c r="W5" i="1"/>
  <c r="W38" i="1"/>
  <c r="W63" i="1"/>
  <c r="W85" i="1"/>
  <c r="W87" i="1"/>
  <c r="W70" i="1"/>
  <c r="W95" i="1"/>
  <c r="W19" i="1"/>
  <c r="W7" i="1"/>
  <c r="W24" i="1"/>
  <c r="W49" i="1"/>
  <c r="W45" i="1"/>
  <c r="W89" i="1"/>
  <c r="W50" i="1"/>
  <c r="W81" i="1"/>
  <c r="W73" i="1"/>
  <c r="W13" i="1"/>
  <c r="W3" i="1"/>
  <c r="W71" i="1"/>
  <c r="W31" i="1"/>
  <c r="W91" i="1"/>
  <c r="W66" i="1"/>
  <c r="W96" i="1"/>
  <c r="W54" i="1"/>
  <c r="W17" i="1"/>
  <c r="W10" i="1"/>
  <c r="W8" i="1"/>
  <c r="B107" i="1"/>
  <c r="E157" i="1" l="1"/>
  <c r="F159" i="1"/>
  <c r="D155" i="1"/>
  <c r="G157" i="1"/>
  <c r="G155" i="1"/>
  <c r="E158" i="1"/>
  <c r="E159" i="1"/>
  <c r="B154" i="1"/>
  <c r="F154" i="1" s="1"/>
  <c r="D156" i="1"/>
  <c r="C156" i="1"/>
  <c r="E156" i="1"/>
  <c r="F157" i="1"/>
  <c r="G158" i="1"/>
  <c r="G159" i="1"/>
  <c r="F156" i="1"/>
  <c r="E155" i="1"/>
  <c r="C159" i="1"/>
  <c r="F158" i="1"/>
  <c r="C158" i="1"/>
  <c r="G156" i="1"/>
  <c r="F155" i="1"/>
  <c r="D158" i="1"/>
  <c r="C157" i="1"/>
  <c r="C155" i="1"/>
  <c r="D159" i="1"/>
  <c r="C154" i="1" l="1"/>
  <c r="D154" i="1"/>
  <c r="E154" i="1"/>
  <c r="G15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<sst xmlns="http://schemas.openxmlformats.org/spreadsheetml/2006/main" count="4164" uniqueCount="692">
  <si>
    <t>Date_of_Birth</t>
  </si>
  <si>
    <t>Age</t>
  </si>
  <si>
    <t>Hire_Date</t>
  </si>
  <si>
    <t>Hiring Source</t>
  </si>
  <si>
    <t>Dept_ID</t>
  </si>
  <si>
    <t>Job_Title</t>
  </si>
  <si>
    <t>Employment_Type</t>
  </si>
  <si>
    <t>Location</t>
  </si>
  <si>
    <t>Region</t>
  </si>
  <si>
    <t>Manager_ID</t>
  </si>
  <si>
    <t>Base_Salary</t>
  </si>
  <si>
    <t>Bonus</t>
  </si>
  <si>
    <t>Performance_Rating</t>
  </si>
  <si>
    <t>Attendance_Percentage</t>
  </si>
  <si>
    <t>Certifications</t>
  </si>
  <si>
    <t>Education_Level</t>
  </si>
  <si>
    <t>Years_of_Experience</t>
  </si>
  <si>
    <t>Promotion_Eligible</t>
  </si>
  <si>
    <t>Attrition_Risk</t>
  </si>
  <si>
    <t>Last_Promotion_Date</t>
  </si>
  <si>
    <t>Employee_Status</t>
  </si>
  <si>
    <t>EMP001</t>
  </si>
  <si>
    <t>Job Portal</t>
  </si>
  <si>
    <t>D_001</t>
  </si>
  <si>
    <t>Software Engineer</t>
  </si>
  <si>
    <t>Full-Time</t>
  </si>
  <si>
    <t>Mumbai</t>
  </si>
  <si>
    <t>West</t>
  </si>
  <si>
    <t>MGR101</t>
  </si>
  <si>
    <t>Bachelor</t>
  </si>
  <si>
    <t>Yes</t>
  </si>
  <si>
    <t>Low</t>
  </si>
  <si>
    <t>Active</t>
  </si>
  <si>
    <t>EMP002</t>
  </si>
  <si>
    <t>LinkedIn</t>
  </si>
  <si>
    <t>D_002</t>
  </si>
  <si>
    <t>HR Manager</t>
  </si>
  <si>
    <t>Delhi</t>
  </si>
  <si>
    <t>North</t>
  </si>
  <si>
    <t>MGR102</t>
  </si>
  <si>
    <t>Master</t>
  </si>
  <si>
    <t>EMP003</t>
  </si>
  <si>
    <t>Referral</t>
  </si>
  <si>
    <t>D_006</t>
  </si>
  <si>
    <t>Financial Analyst</t>
  </si>
  <si>
    <t>Bangalore</t>
  </si>
  <si>
    <t>South</t>
  </si>
  <si>
    <t>MGR103</t>
  </si>
  <si>
    <t>No</t>
  </si>
  <si>
    <t>Medium</t>
  </si>
  <si>
    <t>NA</t>
  </si>
  <si>
    <t>EMP004</t>
  </si>
  <si>
    <t>D_004</t>
  </si>
  <si>
    <t>Marketing Executive</t>
  </si>
  <si>
    <t>Hyderabad</t>
  </si>
  <si>
    <t>MGR104</t>
  </si>
  <si>
    <t>EMP005</t>
  </si>
  <si>
    <t>Campus</t>
  </si>
  <si>
    <t>D_005</t>
  </si>
  <si>
    <t>Operations Manager</t>
  </si>
  <si>
    <t>Pune</t>
  </si>
  <si>
    <t>MGR105</t>
  </si>
  <si>
    <t>EMP006</t>
  </si>
  <si>
    <t>Data Analyst</t>
  </si>
  <si>
    <t>EMP007</t>
  </si>
  <si>
    <t>D_003</t>
  </si>
  <si>
    <t>Sales Manager</t>
  </si>
  <si>
    <t>MGR106</t>
  </si>
  <si>
    <t>EMP008</t>
  </si>
  <si>
    <t>Freelance</t>
  </si>
  <si>
    <t>Recruiter</t>
  </si>
  <si>
    <t>Contract</t>
  </si>
  <si>
    <t>High</t>
  </si>
  <si>
    <t>EMP009</t>
  </si>
  <si>
    <t>Finance Manager</t>
  </si>
  <si>
    <t>Chennai</t>
  </si>
  <si>
    <t>EMP010</t>
  </si>
  <si>
    <t>Digital Marketing Specialist</t>
  </si>
  <si>
    <t>EMP011</t>
  </si>
  <si>
    <t>Senior Developer</t>
  </si>
  <si>
    <t>Noida</t>
  </si>
  <si>
    <t>EMP012</t>
  </si>
  <si>
    <t>Supply Chain Analyst</t>
  </si>
  <si>
    <t>EMP013</t>
  </si>
  <si>
    <t>Business Development Manager</t>
  </si>
  <si>
    <t>EMP014</t>
  </si>
  <si>
    <t>Junior Developer</t>
  </si>
  <si>
    <t>EMP015</t>
  </si>
  <si>
    <t>Tax Consultant</t>
  </si>
  <si>
    <t>EMP016</t>
  </si>
  <si>
    <t>Training Coordinator</t>
  </si>
  <si>
    <t>EMP017</t>
  </si>
  <si>
    <t>Logistics Manager</t>
  </si>
  <si>
    <t>EMP018</t>
  </si>
  <si>
    <t>Content Writer</t>
  </si>
  <si>
    <t>EMP019</t>
  </si>
  <si>
    <t>IT Manager</t>
  </si>
  <si>
    <t>EMP020</t>
  </si>
  <si>
    <t>Sales Executive</t>
  </si>
  <si>
    <t>EMP021</t>
  </si>
  <si>
    <t>Accountant</t>
  </si>
  <si>
    <t>EMP022</t>
  </si>
  <si>
    <t>QA Engineer</t>
  </si>
  <si>
    <t>EMP023</t>
  </si>
  <si>
    <t>Warehouse Manager</t>
  </si>
  <si>
    <t>EMP024</t>
  </si>
  <si>
    <t>Brand Manager</t>
  </si>
  <si>
    <t>EMP025</t>
  </si>
  <si>
    <t>Regional Sales Manager</t>
  </si>
  <si>
    <t>EMP026</t>
  </si>
  <si>
    <t>Compensation Analyst</t>
  </si>
  <si>
    <t>EMP027</t>
  </si>
  <si>
    <t>System Administrator</t>
  </si>
  <si>
    <t>EMP028</t>
  </si>
  <si>
    <t>Budget Analyst</t>
  </si>
  <si>
    <t>EMP029</t>
  </si>
  <si>
    <t>Process Manager</t>
  </si>
  <si>
    <t>EMP030</t>
  </si>
  <si>
    <t>Social Media Manager</t>
  </si>
  <si>
    <t>EMP031</t>
  </si>
  <si>
    <t>Key Account Manager</t>
  </si>
  <si>
    <t>EMP032</t>
  </si>
  <si>
    <t>Business Analyst</t>
  </si>
  <si>
    <t>EMP033</t>
  </si>
  <si>
    <t>Senior Accountant</t>
  </si>
  <si>
    <t>EMP034</t>
  </si>
  <si>
    <t>Employee Relations Specialist</t>
  </si>
  <si>
    <t>EMP035</t>
  </si>
  <si>
    <t>Quality Manager</t>
  </si>
  <si>
    <t>EMP036</t>
  </si>
  <si>
    <t>Product Manager</t>
  </si>
  <si>
    <t>EMP037</t>
  </si>
  <si>
    <t>DevOps Engineer</t>
  </si>
  <si>
    <t>EMP038</t>
  </si>
  <si>
    <t>Inside Sales Representative</t>
  </si>
  <si>
    <t>EMP039</t>
  </si>
  <si>
    <t>Investment Analyst</t>
  </si>
  <si>
    <t>EMP040</t>
  </si>
  <si>
    <t>Procurement Specialist</t>
  </si>
  <si>
    <t>EMP041</t>
  </si>
  <si>
    <t>Cloud Architect</t>
  </si>
  <si>
    <t>EMP042</t>
  </si>
  <si>
    <t>Market Research Analyst</t>
  </si>
  <si>
    <t>EMP043</t>
  </si>
  <si>
    <t>Territory Manager</t>
  </si>
  <si>
    <t>EMP044</t>
  </si>
  <si>
    <t>HRIS Specialist</t>
  </si>
  <si>
    <t>EMP045</t>
  </si>
  <si>
    <t>Treasury Analyst</t>
  </si>
  <si>
    <t>EMP046</t>
  </si>
  <si>
    <t>UI/UX Designer</t>
  </si>
  <si>
    <t>EMP047</t>
  </si>
  <si>
    <t>Plant Manager</t>
  </si>
  <si>
    <t>EMP048</t>
  </si>
  <si>
    <t>Email Marketing Specialist</t>
  </si>
  <si>
    <t>EMP049</t>
  </si>
  <si>
    <t>Channel Sales Manager</t>
  </si>
  <si>
    <t>EMP050</t>
  </si>
  <si>
    <t>Cybersecurity Analyst</t>
  </si>
  <si>
    <t>EMP051</t>
  </si>
  <si>
    <t>Controller</t>
  </si>
  <si>
    <t>EMP052</t>
  </si>
  <si>
    <t>Talent Acquisition Manager</t>
  </si>
  <si>
    <t>EMP053</t>
  </si>
  <si>
    <t>Facilities Manager</t>
  </si>
  <si>
    <t>EMP054</t>
  </si>
  <si>
    <t>SEO Specialist</t>
  </si>
  <si>
    <t>EMP055</t>
  </si>
  <si>
    <t>Database Administrator</t>
  </si>
  <si>
    <t>EMP056</t>
  </si>
  <si>
    <t>Sales Coordinator</t>
  </si>
  <si>
    <t>EMP057</t>
  </si>
  <si>
    <t>Risk Analyst</t>
  </si>
  <si>
    <t>EMP058</t>
  </si>
  <si>
    <t>Technical Writer</t>
  </si>
  <si>
    <t>EMP059</t>
  </si>
  <si>
    <t>Production Manager</t>
  </si>
  <si>
    <t>EMP060</t>
  </si>
  <si>
    <t>Communications Manager</t>
  </si>
  <si>
    <t>EMP061</t>
  </si>
  <si>
    <t>Enterprise Sales Manager</t>
  </si>
  <si>
    <t>EMP062</t>
  </si>
  <si>
    <t>Benefits Administrator</t>
  </si>
  <si>
    <t>EMP063</t>
  </si>
  <si>
    <t>Network Engineer</t>
  </si>
  <si>
    <t>EMP064</t>
  </si>
  <si>
    <t>Payroll Manager</t>
  </si>
  <si>
    <t>EMP065</t>
  </si>
  <si>
    <t>Inventory Manager</t>
  </si>
  <si>
    <t>EMP066</t>
  </si>
  <si>
    <t>Graphic Designer</t>
  </si>
  <si>
    <t>EMP067</t>
  </si>
  <si>
    <t>Sales Trainer</t>
  </si>
  <si>
    <t>EMP068</t>
  </si>
  <si>
    <t>Scrum Master</t>
  </si>
  <si>
    <t>EMP069</t>
  </si>
  <si>
    <t>Credit Analyst</t>
  </si>
  <si>
    <t>EMP070</t>
  </si>
  <si>
    <t>Learning &amp; Development Specialist</t>
  </si>
  <si>
    <t>EMP071</t>
  </si>
  <si>
    <t>Safety Manager</t>
  </si>
  <si>
    <t>EMP072</t>
  </si>
  <si>
    <t>Event Manager</t>
  </si>
  <si>
    <t>EMP073</t>
  </si>
  <si>
    <t>Customer Success Manager</t>
  </si>
  <si>
    <t>EMP074</t>
  </si>
  <si>
    <t>Mobile App Developer</t>
  </si>
  <si>
    <t>EMP075</t>
  </si>
  <si>
    <t>VP Finance</t>
  </si>
  <si>
    <t>EMP076</t>
  </si>
  <si>
    <t>Customer Service Manager</t>
  </si>
  <si>
    <t>EMP077</t>
  </si>
  <si>
    <t>Solutions Architect</t>
  </si>
  <si>
    <t>EMP078</t>
  </si>
  <si>
    <t>Influencer Marketing Manager</t>
  </si>
  <si>
    <t>EMP079</t>
  </si>
  <si>
    <t>National Sales Manager</t>
  </si>
  <si>
    <t>EMP080</t>
  </si>
  <si>
    <t>Diversity &amp; Inclusion Manager</t>
  </si>
  <si>
    <t>EMP081</t>
  </si>
  <si>
    <t>Compliance Officer</t>
  </si>
  <si>
    <t>EMP082</t>
  </si>
  <si>
    <t>Data Scientist</t>
  </si>
  <si>
    <t>EMP083</t>
  </si>
  <si>
    <t>Maintenance Manager</t>
  </si>
  <si>
    <t>EMP084</t>
  </si>
  <si>
    <t>Affiliate Marketing Manager</t>
  </si>
  <si>
    <t>EMP085</t>
  </si>
  <si>
    <t>Partner Manager</t>
  </si>
  <si>
    <t>EMP086</t>
  </si>
  <si>
    <t>Product Owner</t>
  </si>
  <si>
    <t>EMP087</t>
  </si>
  <si>
    <t>Internal Auditor</t>
  </si>
  <si>
    <t>EMP088</t>
  </si>
  <si>
    <t>HR Coordinator</t>
  </si>
  <si>
    <t>EMP089</t>
  </si>
  <si>
    <t>Distribution Manager</t>
  </si>
  <si>
    <t>EMP090</t>
  </si>
  <si>
    <t>Partnership Manager</t>
  </si>
  <si>
    <t>EMP091</t>
  </si>
  <si>
    <t>Direct Sales Manager</t>
  </si>
  <si>
    <t>EMP092</t>
  </si>
  <si>
    <t>Machine Learning Engineer</t>
  </si>
  <si>
    <t>EMP093</t>
  </si>
  <si>
    <t>Financial Planning Manager</t>
  </si>
  <si>
    <t>EMP094</t>
  </si>
  <si>
    <t>Quality Assurance Manager</t>
  </si>
  <si>
    <t>EMP095</t>
  </si>
  <si>
    <t>Growth Marketing Manager</t>
  </si>
  <si>
    <t>EMP096</t>
  </si>
  <si>
    <t>Technical Lead</t>
  </si>
  <si>
    <t>EMP097</t>
  </si>
  <si>
    <t>VP Sales</t>
  </si>
  <si>
    <t>EMP098</t>
  </si>
  <si>
    <t>Organizational Development Specialist</t>
  </si>
  <si>
    <t>EMP099</t>
  </si>
  <si>
    <t>Mergers &amp; Acquisitions Analyst</t>
  </si>
  <si>
    <t>EMP100</t>
  </si>
  <si>
    <t>Frontend Developer</t>
  </si>
  <si>
    <t>Emp_ID</t>
  </si>
  <si>
    <t>Gender</t>
  </si>
  <si>
    <t>First_Name</t>
  </si>
  <si>
    <t>Last_Name</t>
  </si>
  <si>
    <t>Male</t>
  </si>
  <si>
    <t>Female</t>
  </si>
  <si>
    <t>Dept_Name</t>
  </si>
  <si>
    <t>HOD</t>
  </si>
  <si>
    <t>D_007</t>
  </si>
  <si>
    <t>D_008</t>
  </si>
  <si>
    <t>IT</t>
  </si>
  <si>
    <t>HR</t>
  </si>
  <si>
    <t>Sales</t>
  </si>
  <si>
    <t>Admin</t>
  </si>
  <si>
    <t>Marketing</t>
  </si>
  <si>
    <t>Finance</t>
  </si>
  <si>
    <t>R&amp;D</t>
  </si>
  <si>
    <t>Shantanu Roy</t>
  </si>
  <si>
    <t>Vibha Kaur</t>
  </si>
  <si>
    <t>Nikhil Chopra</t>
  </si>
  <si>
    <t>Mohanty Sahoo</t>
  </si>
  <si>
    <t>Akash Wadhwa</t>
  </si>
  <si>
    <t>Ankush Patel</t>
  </si>
  <si>
    <t>Operations</t>
  </si>
  <si>
    <t>Pankaj Singh</t>
  </si>
  <si>
    <t>Martyn John</t>
  </si>
  <si>
    <t>gupta</t>
  </si>
  <si>
    <t>kapoor</t>
  </si>
  <si>
    <t>rao</t>
  </si>
  <si>
    <t>verma</t>
  </si>
  <si>
    <t>malhotra</t>
  </si>
  <si>
    <t>saxena</t>
  </si>
  <si>
    <t>pillai</t>
  </si>
  <si>
    <t>bhat</t>
  </si>
  <si>
    <t>chopra</t>
  </si>
  <si>
    <t>menon</t>
  </si>
  <si>
    <t>kumar</t>
  </si>
  <si>
    <t>sharma</t>
  </si>
  <si>
    <t>patel</t>
  </si>
  <si>
    <t>reddy</t>
  </si>
  <si>
    <t>singh</t>
  </si>
  <si>
    <t>desai</t>
  </si>
  <si>
    <t>mehta</t>
  </si>
  <si>
    <t>joshi</t>
  </si>
  <si>
    <t>nair</t>
  </si>
  <si>
    <t>iyer</t>
  </si>
  <si>
    <t>agarwal</t>
  </si>
  <si>
    <t>kulkarni</t>
  </si>
  <si>
    <t>tiwari</t>
  </si>
  <si>
    <t>sinha</t>
  </si>
  <si>
    <t>pandey</t>
  </si>
  <si>
    <t>yadav</t>
  </si>
  <si>
    <t>bansal</t>
  </si>
  <si>
    <t>mishra</t>
  </si>
  <si>
    <t>jain</t>
  </si>
  <si>
    <t>bhatt</t>
  </si>
  <si>
    <t>shetty</t>
  </si>
  <si>
    <t>deshpande</t>
  </si>
  <si>
    <t>khanna</t>
  </si>
  <si>
    <t>goyal</t>
  </si>
  <si>
    <t>nambiar</t>
  </si>
  <si>
    <t>rana</t>
  </si>
  <si>
    <t>patil</t>
  </si>
  <si>
    <t>bose</t>
  </si>
  <si>
    <t>F</t>
  </si>
  <si>
    <t>manoj</t>
  </si>
  <si>
    <t>pooja</t>
  </si>
  <si>
    <t>arjun</t>
  </si>
  <si>
    <t>neha</t>
  </si>
  <si>
    <t>karan</t>
  </si>
  <si>
    <t>ritu</t>
  </si>
  <si>
    <t>sanjay</t>
  </si>
  <si>
    <t>meera</t>
  </si>
  <si>
    <t>anil</t>
  </si>
  <si>
    <t>divya</t>
  </si>
  <si>
    <t>rajesh</t>
  </si>
  <si>
    <t>priya</t>
  </si>
  <si>
    <t>amit</t>
  </si>
  <si>
    <t>sneha</t>
  </si>
  <si>
    <t>vikram</t>
  </si>
  <si>
    <t>anita</t>
  </si>
  <si>
    <t>rahul</t>
  </si>
  <si>
    <t>kavita</t>
  </si>
  <si>
    <t>suresh</t>
  </si>
  <si>
    <t>deepa</t>
  </si>
  <si>
    <t>rohit</t>
  </si>
  <si>
    <t>swati</t>
  </si>
  <si>
    <t>vishal</t>
  </si>
  <si>
    <t>anjali</t>
  </si>
  <si>
    <t>gaurav</t>
  </si>
  <si>
    <t>nisha</t>
  </si>
  <si>
    <t>ashok</t>
  </si>
  <si>
    <t>preeti</t>
  </si>
  <si>
    <t>nitin</t>
  </si>
  <si>
    <t>shweta</t>
  </si>
  <si>
    <t>ravi</t>
  </si>
  <si>
    <t>tanvi</t>
  </si>
  <si>
    <t>prakash</t>
  </si>
  <si>
    <t>isha</t>
  </si>
  <si>
    <t>manish</t>
  </si>
  <si>
    <t>pallavi</t>
  </si>
  <si>
    <t>ajay</t>
  </si>
  <si>
    <t>rekha</t>
  </si>
  <si>
    <t>sandeep</t>
  </si>
  <si>
    <t>madhuri</t>
  </si>
  <si>
    <t>varun</t>
  </si>
  <si>
    <t>sonali</t>
  </si>
  <si>
    <t>harish</t>
  </si>
  <si>
    <t>priyanka</t>
  </si>
  <si>
    <t>aditya</t>
  </si>
  <si>
    <t>shruti</t>
  </si>
  <si>
    <t>rajeev</t>
  </si>
  <si>
    <t>geeta</t>
  </si>
  <si>
    <t>sunil</t>
  </si>
  <si>
    <t>kavya</t>
  </si>
  <si>
    <t>ramesh</t>
  </si>
  <si>
    <t>aditi</t>
  </si>
  <si>
    <t>vivek</t>
  </si>
  <si>
    <t>seema</t>
  </si>
  <si>
    <t>karthik</t>
  </si>
  <si>
    <t>ananya</t>
  </si>
  <si>
    <t>mohit</t>
  </si>
  <si>
    <t>ritika</t>
  </si>
  <si>
    <t>alok</t>
  </si>
  <si>
    <t>nidhi</t>
  </si>
  <si>
    <t>siddharth</t>
  </si>
  <si>
    <t>poornima</t>
  </si>
  <si>
    <t>abhishek</t>
  </si>
  <si>
    <t>megha</t>
  </si>
  <si>
    <t>pankaj</t>
  </si>
  <si>
    <t>lakshmi</t>
  </si>
  <si>
    <t>naveen</t>
  </si>
  <si>
    <t>rashmi</t>
  </si>
  <si>
    <t>deepak</t>
  </si>
  <si>
    <t>smita</t>
  </si>
  <si>
    <t>tarun</t>
  </si>
  <si>
    <t>vidya</t>
  </si>
  <si>
    <t>ashish</t>
  </si>
  <si>
    <t>jyoti</t>
  </si>
  <si>
    <t>vinay</t>
  </si>
  <si>
    <t>sunita</t>
  </si>
  <si>
    <t>rajat</t>
  </si>
  <si>
    <t>archana</t>
  </si>
  <si>
    <t>nikhil</t>
  </si>
  <si>
    <t>shilpa</t>
  </si>
  <si>
    <t>sachin</t>
  </si>
  <si>
    <t>namita</t>
  </si>
  <si>
    <t>yogesh</t>
  </si>
  <si>
    <t>riya</t>
  </si>
  <si>
    <t>anuj</t>
  </si>
  <si>
    <t>dinesh</t>
  </si>
  <si>
    <t>shraddha</t>
  </si>
  <si>
    <t>puneet</t>
  </si>
  <si>
    <t>anjana</t>
  </si>
  <si>
    <t>tara</t>
  </si>
  <si>
    <t>vikas</t>
  </si>
  <si>
    <t>prachi</t>
  </si>
  <si>
    <t>hemant</t>
  </si>
  <si>
    <t>sonal</t>
  </si>
  <si>
    <t>akash</t>
  </si>
  <si>
    <t>naina</t>
  </si>
  <si>
    <t>sameer</t>
  </si>
  <si>
    <t>Linkedin</t>
  </si>
  <si>
    <t>Total_Salary</t>
  </si>
  <si>
    <t>Calculate Total Compensation for each employee. Also find overall distributed salary across all employees, total working employees, Average
Age, Departments represented in the company.</t>
  </si>
  <si>
    <t>Total_Employees</t>
  </si>
  <si>
    <t>Average Age</t>
  </si>
  <si>
    <t>Identify employees who joined before 2018 and currently have a Performance_Rating above 4.5.</t>
  </si>
  <si>
    <t>HR wants a clean Full_Name column for reporting, ensuring consistent capitalization.</t>
  </si>
  <si>
    <t>Full_Name</t>
  </si>
  <si>
    <t>ID_Card_Details</t>
  </si>
  <si>
    <t>Diwali_Month_Salary</t>
  </si>
  <si>
    <t>Salary_Seg</t>
  </si>
  <si>
    <t>Row Labels</t>
  </si>
  <si>
    <t>Grand Total</t>
  </si>
  <si>
    <t>Average of Years_of_Experience</t>
  </si>
  <si>
    <t>Sum of Total_Salary</t>
  </si>
  <si>
    <t>Finance requests the highest and lowest Base_Salary employees, also highlight the top 3 candidates in each department. Provide the flexibility to choose the department from list.</t>
  </si>
  <si>
    <t>Advanced_Cert_Bonus</t>
  </si>
  <si>
    <r>
      <rPr>
        <b/>
        <sz val="7"/>
        <color rgb="FFFF0000"/>
        <rFont val="Times New Roman"/>
        <family val="1"/>
      </rPr>
      <t xml:space="preserve"> </t>
    </r>
    <r>
      <rPr>
        <b/>
        <sz val="12"/>
        <color rgb="FFFF0000"/>
        <rFont val="Calibri"/>
        <family val="2"/>
      </rPr>
      <t>The Talent Acquisition team wants to see which hiring source has contributed the most employees.</t>
    </r>
  </si>
  <si>
    <t>Find total sales for each department and hiring source</t>
  </si>
  <si>
    <t>Vinay Reddy</t>
  </si>
  <si>
    <t>VR075</t>
  </si>
  <si>
    <t>Eligible</t>
  </si>
  <si>
    <t>Anil Chopra</t>
  </si>
  <si>
    <t>AC019</t>
  </si>
  <si>
    <t>Rohit Agarwal</t>
  </si>
  <si>
    <t>RA097</t>
  </si>
  <si>
    <t>Vikram Singh</t>
  </si>
  <si>
    <t>VS005</t>
  </si>
  <si>
    <t>Rajeev Bose</t>
  </si>
  <si>
    <t>RB047</t>
  </si>
  <si>
    <t>Varun Kapoor</t>
  </si>
  <si>
    <t>VK041</t>
  </si>
  <si>
    <t>Suresh Nair</t>
  </si>
  <si>
    <t>SN009</t>
  </si>
  <si>
    <t>NC079</t>
  </si>
  <si>
    <t>Ramesh Pillai</t>
  </si>
  <si>
    <t>RP051</t>
  </si>
  <si>
    <t>Rajat Verma</t>
  </si>
  <si>
    <t>RV077</t>
  </si>
  <si>
    <t>Gaurav Pandey</t>
  </si>
  <si>
    <t>GP025</t>
  </si>
  <si>
    <t>Not Eligible</t>
  </si>
  <si>
    <t>Siddharth Mehta</t>
  </si>
  <si>
    <t>SM061</t>
  </si>
  <si>
    <t>Priya Sharma</t>
  </si>
  <si>
    <t>PS002</t>
  </si>
  <si>
    <t>Kavita Pillai</t>
  </si>
  <si>
    <t>KP092</t>
  </si>
  <si>
    <t>Pallavi Nambiar</t>
  </si>
  <si>
    <t>PN036</t>
  </si>
  <si>
    <t>Manoj Gupta</t>
  </si>
  <si>
    <t>MG011</t>
  </si>
  <si>
    <t>Alok Sinha</t>
  </si>
  <si>
    <t>AS059</t>
  </si>
  <si>
    <t>Dinesh Reddy</t>
  </si>
  <si>
    <t>DR093</t>
  </si>
  <si>
    <t>Anjana Nair</t>
  </si>
  <si>
    <t>AN096</t>
  </si>
  <si>
    <t>Namita Rao</t>
  </si>
  <si>
    <t>NR082</t>
  </si>
  <si>
    <t>Sunil Agarwal</t>
  </si>
  <si>
    <t>SA049</t>
  </si>
  <si>
    <t>Rahul Mehta</t>
  </si>
  <si>
    <t>RM007</t>
  </si>
  <si>
    <t>Vikas Sharma</t>
  </si>
  <si>
    <t>VS099</t>
  </si>
  <si>
    <t>Nitin Jain</t>
  </si>
  <si>
    <t>NJ029</t>
  </si>
  <si>
    <t>Sameer Bansal</t>
  </si>
  <si>
    <t>SB091</t>
  </si>
  <si>
    <t>Ajay Sharma</t>
  </si>
  <si>
    <t>AS037</t>
  </si>
  <si>
    <t>Preeti Menon</t>
  </si>
  <si>
    <t>PM086</t>
  </si>
  <si>
    <t>Ravi Shetty</t>
  </si>
  <si>
    <t>RS031</t>
  </si>
  <si>
    <t>Sanjay Pillai</t>
  </si>
  <si>
    <t>SP017</t>
  </si>
  <si>
    <t>Sachin Desai</t>
  </si>
  <si>
    <t>SD081</t>
  </si>
  <si>
    <t>Rajesh Kumar</t>
  </si>
  <si>
    <t>RK001</t>
  </si>
  <si>
    <t>Akash Yadav</t>
  </si>
  <si>
    <t>AY089</t>
  </si>
  <si>
    <t>Manish Goyal</t>
  </si>
  <si>
    <t>MG035</t>
  </si>
  <si>
    <t>Puneet Mehta</t>
  </si>
  <si>
    <t>PM095</t>
  </si>
  <si>
    <t>Aditi Malhotra</t>
  </si>
  <si>
    <t>AM052</t>
  </si>
  <si>
    <t>Rashmi Kapoor</t>
  </si>
  <si>
    <t>RK068</t>
  </si>
  <si>
    <t>Anuj Sinha</t>
  </si>
  <si>
    <t>AS085</t>
  </si>
  <si>
    <t>Harish Menon</t>
  </si>
  <si>
    <t>HM043</t>
  </si>
  <si>
    <t>Arjun Rao</t>
  </si>
  <si>
    <t>AR013</t>
  </si>
  <si>
    <t>Prakash Reddy</t>
  </si>
  <si>
    <t>PR033</t>
  </si>
  <si>
    <t>Karthik Reddy</t>
  </si>
  <si>
    <t>KR055</t>
  </si>
  <si>
    <t>Vishal Tiwari</t>
  </si>
  <si>
    <t>VT023</t>
  </si>
  <si>
    <t>Shilpa Kulkarni</t>
  </si>
  <si>
    <t>SK080</t>
  </si>
  <si>
    <t>Naveen Gupta</t>
  </si>
  <si>
    <t>NG067</t>
  </si>
  <si>
    <t>Nidhi Kulkarni</t>
  </si>
  <si>
    <t>NK060</t>
  </si>
  <si>
    <t>Tarun Shetty</t>
  </si>
  <si>
    <t>TS071</t>
  </si>
  <si>
    <t>Abhishek Pandey</t>
  </si>
  <si>
    <t>AP063</t>
  </si>
  <si>
    <t>Yogesh Pandey</t>
  </si>
  <si>
    <t>YP083</t>
  </si>
  <si>
    <t>Sandeep Rana</t>
  </si>
  <si>
    <t>SR039</t>
  </si>
  <si>
    <t>Ashish Pillai</t>
  </si>
  <si>
    <t>AP073</t>
  </si>
  <si>
    <t>Ashok Bansal</t>
  </si>
  <si>
    <t>AB027</t>
  </si>
  <si>
    <t>Sunita Nair</t>
  </si>
  <si>
    <t>SN076</t>
  </si>
  <si>
    <t>Anjali Sinha</t>
  </si>
  <si>
    <t>AS024</t>
  </si>
  <si>
    <t>Kavya Iyer</t>
  </si>
  <si>
    <t>KI050</t>
  </si>
  <si>
    <t>Amit Patel</t>
  </si>
  <si>
    <t>AP003</t>
  </si>
  <si>
    <t>Hemant Gupta</t>
  </si>
  <si>
    <t>HG087</t>
  </si>
  <si>
    <t>Mohit Jain</t>
  </si>
  <si>
    <t>MJ057</t>
  </si>
  <si>
    <t>Pankaj Bansal</t>
  </si>
  <si>
    <t>PB065</t>
  </si>
  <si>
    <t>Naina Tiwari</t>
  </si>
  <si>
    <t>NT090</t>
  </si>
  <si>
    <t>Aditya Verma</t>
  </si>
  <si>
    <t>AV045</t>
  </si>
  <si>
    <t>Karan Malhotra</t>
  </si>
  <si>
    <t>KM015</t>
  </si>
  <si>
    <t>Deepak Yadav</t>
  </si>
  <si>
    <t>DY069</t>
  </si>
  <si>
    <t>Tanvi Deshpande</t>
  </si>
  <si>
    <t>TD032</t>
  </si>
  <si>
    <t>Megha Tiwari</t>
  </si>
  <si>
    <t>MT064</t>
  </si>
  <si>
    <t>Vivek Nair</t>
  </si>
  <si>
    <t>VN053</t>
  </si>
  <si>
    <t>Archana Bhatt</t>
  </si>
  <si>
    <t>AB078</t>
  </si>
  <si>
    <t>Shraddha Joshi</t>
  </si>
  <si>
    <t>SJ094</t>
  </si>
  <si>
    <t>Anita Desai</t>
  </si>
  <si>
    <t>AD006</t>
  </si>
  <si>
    <t>Preeti Mishra</t>
  </si>
  <si>
    <t>PM028</t>
  </si>
  <si>
    <t>Tara Desai</t>
  </si>
  <si>
    <t>TD098</t>
  </si>
  <si>
    <t>Priyanka Gupta</t>
  </si>
  <si>
    <t>PG044</t>
  </si>
  <si>
    <t>Pooja Kapoor</t>
  </si>
  <si>
    <t>PK012</t>
  </si>
  <si>
    <t>Jyoti Agarwal</t>
  </si>
  <si>
    <t>JA074</t>
  </si>
  <si>
    <t>RA021</t>
  </si>
  <si>
    <t>Madhuri Joshi</t>
  </si>
  <si>
    <t>MJ040</t>
  </si>
  <si>
    <t>Riya Jain</t>
  </si>
  <si>
    <t>RJ084</t>
  </si>
  <si>
    <t>Sneha Reddy</t>
  </si>
  <si>
    <t>SR004</t>
  </si>
  <si>
    <t>Smita Joshi</t>
  </si>
  <si>
    <t>SJ070</t>
  </si>
  <si>
    <t>Divya Menon</t>
  </si>
  <si>
    <t>DM020</t>
  </si>
  <si>
    <t>Nisha Yadav</t>
  </si>
  <si>
    <t>NY026</t>
  </si>
  <si>
    <t>Prachi Kulkarni</t>
  </si>
  <si>
    <t>PK100</t>
  </si>
  <si>
    <t>Poornima Rao</t>
  </si>
  <si>
    <t>PR062</t>
  </si>
  <si>
    <t>Swati Kulkarni</t>
  </si>
  <si>
    <t>SK022</t>
  </si>
  <si>
    <t>Ananya Desai</t>
  </si>
  <si>
    <t>AD056</t>
  </si>
  <si>
    <t>Ritu Saxena</t>
  </si>
  <si>
    <t>RS016</t>
  </si>
  <si>
    <t>Sonali Patil</t>
  </si>
  <si>
    <t>SP042</t>
  </si>
  <si>
    <t>Deepa Iyer</t>
  </si>
  <si>
    <t>DI010</t>
  </si>
  <si>
    <t>Seema Chopra</t>
  </si>
  <si>
    <t>SC054</t>
  </si>
  <si>
    <t>Isha Khanna</t>
  </si>
  <si>
    <t>IK034</t>
  </si>
  <si>
    <t>Lakshmi Menon</t>
  </si>
  <si>
    <t>LM066</t>
  </si>
  <si>
    <t>Shweta Bhatt</t>
  </si>
  <si>
    <t>SB030</t>
  </si>
  <si>
    <t>Shruti Rao</t>
  </si>
  <si>
    <t>SR046</t>
  </si>
  <si>
    <t>Vidya Mishra</t>
  </si>
  <si>
    <t>VM072</t>
  </si>
  <si>
    <t>Neha Verma</t>
  </si>
  <si>
    <t>NV014</t>
  </si>
  <si>
    <t>Rekha Pillai</t>
  </si>
  <si>
    <t>RP038</t>
  </si>
  <si>
    <t>Ritika Bhatt</t>
  </si>
  <si>
    <t>RB058</t>
  </si>
  <si>
    <t>Kavita Joshi</t>
  </si>
  <si>
    <t>KJ008</t>
  </si>
  <si>
    <t>Geeta Saxena</t>
  </si>
  <si>
    <t>GS048</t>
  </si>
  <si>
    <t>Sonal Kapoor</t>
  </si>
  <si>
    <t>SK088</t>
  </si>
  <si>
    <t>Meera Bhat</t>
  </si>
  <si>
    <t>MB018</t>
  </si>
  <si>
    <t>Count of Emp_ID</t>
  </si>
  <si>
    <t>Managers</t>
  </si>
  <si>
    <t>Jan</t>
  </si>
  <si>
    <t>Feb</t>
  </si>
  <si>
    <t>Mar</t>
  </si>
  <si>
    <t>Apr</t>
  </si>
  <si>
    <t>May</t>
  </si>
  <si>
    <t>Jun</t>
  </si>
  <si>
    <t>Jul</t>
  </si>
  <si>
    <t>Aug</t>
  </si>
  <si>
    <t>Sep</t>
  </si>
  <si>
    <t>Oct</t>
  </si>
  <si>
    <t>Nov</t>
  </si>
  <si>
    <t>Dec</t>
  </si>
  <si>
    <t>2014</t>
  </si>
  <si>
    <t>2015</t>
  </si>
  <si>
    <t>2016</t>
  </si>
  <si>
    <t>2017</t>
  </si>
  <si>
    <t>2018</t>
  </si>
  <si>
    <t>2019</t>
  </si>
  <si>
    <t>2020</t>
  </si>
  <si>
    <t>2021</t>
  </si>
  <si>
    <t>2022</t>
  </si>
  <si>
    <t>2023</t>
  </si>
  <si>
    <t>Average of Total_Salary</t>
  </si>
  <si>
    <t>Column Labels</t>
  </si>
  <si>
    <t>Average of Performance_Rating</t>
  </si>
  <si>
    <t>Average of Attendance_Percentage</t>
  </si>
  <si>
    <t>Average of Certifications</t>
  </si>
  <si>
    <t>29-32</t>
  </si>
  <si>
    <t>33-36</t>
  </si>
  <si>
    <t>37-40</t>
  </si>
  <si>
    <t>Chennaaaa</t>
  </si>
  <si>
    <t xml:space="preserve">1. The HR Director wants to monitor the cumulative number of employees hired over Years to track workforce growth. </t>
  </si>
  <si>
    <t>Joining Count</t>
  </si>
  <si>
    <t>2. HR Director wants to compare total, minimum, maximum, and average salary for each department to understand the salary distribution</t>
  </si>
  <si>
    <t>Total_sal</t>
  </si>
  <si>
    <t>Average_Sal</t>
  </si>
  <si>
    <t>Min_sal</t>
  </si>
  <si>
    <t>Max_Sal</t>
  </si>
  <si>
    <t xml:space="preserve">3. The HR Director wants to identify employees eligible for promotion and analyse the impact of experience, certifications, attendance, and performance ratings on promotion decisions. </t>
  </si>
  <si>
    <t>4. The HR Analytics Team wants to classify employees based on managerial versus non-managerial roles for workforce planning.</t>
  </si>
  <si>
    <t>Non-Managers</t>
  </si>
  <si>
    <t>KPIs</t>
  </si>
  <si>
    <t>Total Salary, Total Employees count, Total Departments</t>
  </si>
  <si>
    <t>Total Departments</t>
  </si>
  <si>
    <t>City wise Employee Distribution</t>
  </si>
  <si>
    <t>Department-wise Salary Expenditure</t>
  </si>
  <si>
    <t>Monthly Hiring Trend</t>
  </si>
  <si>
    <t>Hiring Source Distribution</t>
  </si>
  <si>
    <t>Department wise salary distribution by gender</t>
  </si>
  <si>
    <t>HR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</si>
</sst>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0\ &quot;Rs&quot;"/>
    <numFmt numFmtId="166" formatCode="0.0"/>
    <numFmt numFmtId="167" formatCode="0.0&quot;%&quot;"/>
    <numFmt numFmtId="169" formatCode="_ * #,##0_ ;_ * \-#,##0_ ;_ * &quot;-&quot;??_ ;_ @_ "/>
    <numFmt numFmtId="170" formatCode="_ * #,##0.0_ ;_ * \-#,##0.0_ ;_ * &quot;-&quot;??_ ;_ @_ "/>
  </numFmts>
  <fonts count="1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2"/>
      <color rgb="FFFF0000"/>
      <name val="Aptos Narrow"/>
      <family val="2"/>
      <scheme val="minor"/>
    </font>
    <font>
      <b/>
      <sz val="12"/>
      <color rgb="FFFF0000"/>
      <name val="Calibri"/>
      <family val="2"/>
    </font>
    <font>
      <sz val="11"/>
      <color rgb="FFFF0000"/>
      <name val="Aptos Narrow"/>
      <family val="2"/>
      <scheme val="minor"/>
    </font>
    <font>
      <b/>
      <sz val="12"/>
      <color rgb="FFFF0000"/>
      <name val="Calibri"/>
      <family val="1"/>
    </font>
    <font>
      <b/>
      <sz val="7"/>
      <color rgb="FFFF0000"/>
      <name val="Times New Roman"/>
      <family val="1"/>
    </font>
    <font>
      <b/>
      <sz val="11"/>
      <color rgb="FFFF0000"/>
      <name val="Aptos Narrow"/>
      <family val="2"/>
      <scheme val="minor"/>
    </font>
    <font>
      <sz val="12"/>
      <color theme="1"/>
      <name val="Calibri"/>
      <family val="2"/>
    </font>
    <font>
      <b/>
      <sz val="12"/>
      <color theme="1"/>
      <name val="Calibri"/>
      <family val="2"/>
    </font>
    <font>
      <b/>
      <sz val="14"/>
      <color theme="1"/>
      <name val="Aptos Narrow"/>
      <family val="2"/>
      <scheme val="minor"/>
    </font>
    <font>
      <b/>
      <sz val="24"/>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164" fontId="3" fillId="0" borderId="0" applyFont="0" applyFill="0" applyBorder="0" applyAlignment="0" applyProtection="0"/>
  </cellStyleXfs>
  <cellXfs count="49">
    <xf numFmtId="0" fontId="0" fillId="0" borderId="0" xfId="0"/>
    <xf numFmtId="0" fontId="0" fillId="0" borderId="1" xfId="0" applyBorder="1"/>
    <xf numFmtId="0" fontId="1" fillId="0" borderId="1" xfId="0" applyFont="1" applyBorder="1"/>
    <xf numFmtId="9" fontId="0" fillId="0" borderId="0" xfId="1" applyFont="1"/>
    <xf numFmtId="0" fontId="1" fillId="0" borderId="0" xfId="0" applyFont="1"/>
    <xf numFmtId="14" fontId="0" fillId="0" borderId="1" xfId="0" applyNumberFormat="1" applyBorder="1"/>
    <xf numFmtId="165" fontId="0" fillId="0" borderId="1" xfId="2" applyNumberFormat="1" applyFont="1" applyBorder="1"/>
    <xf numFmtId="165" fontId="0" fillId="0" borderId="1" xfId="0" applyNumberFormat="1" applyBorder="1"/>
    <xf numFmtId="166" fontId="0" fillId="0" borderId="1" xfId="0" applyNumberFormat="1" applyBorder="1"/>
    <xf numFmtId="167" fontId="0" fillId="0" borderId="1" xfId="0" applyNumberFormat="1" applyBorder="1"/>
    <xf numFmtId="0" fontId="0" fillId="2" borderId="0" xfId="0" applyFill="1"/>
    <xf numFmtId="0" fontId="4" fillId="0" borderId="0" xfId="0" applyFont="1"/>
    <xf numFmtId="165" fontId="0" fillId="0" borderId="0" xfId="0" applyNumberFormat="1"/>
    <xf numFmtId="0" fontId="5" fillId="0" borderId="0" xfId="0" applyFont="1"/>
    <xf numFmtId="0" fontId="1" fillId="0" borderId="2" xfId="0" applyFont="1" applyBorder="1"/>
    <xf numFmtId="9" fontId="0" fillId="2" borderId="0" xfId="1" applyFont="1" applyFill="1"/>
    <xf numFmtId="0" fontId="0" fillId="0" borderId="0" xfId="0" pivotButton="1"/>
    <xf numFmtId="0" fontId="0" fillId="0" borderId="0" xfId="0" applyAlignment="1">
      <alignment horizontal="left"/>
    </xf>
    <xf numFmtId="10" fontId="0" fillId="0" borderId="0" xfId="0" applyNumberFormat="1"/>
    <xf numFmtId="0" fontId="6" fillId="0" borderId="0" xfId="0" applyFont="1"/>
    <xf numFmtId="0" fontId="5" fillId="0" borderId="0" xfId="0" applyFont="1" applyAlignment="1">
      <alignment horizontal="left" indent="6"/>
    </xf>
    <xf numFmtId="0" fontId="7" fillId="0" borderId="0" xfId="0" applyFont="1" applyAlignment="1">
      <alignment horizontal="left" vertical="center" indent="6"/>
    </xf>
    <xf numFmtId="169" fontId="0" fillId="0" borderId="0" xfId="2" applyNumberFormat="1" applyFont="1"/>
    <xf numFmtId="0" fontId="9" fillId="0" borderId="0" xfId="0" applyFont="1"/>
    <xf numFmtId="170" fontId="0" fillId="0" borderId="0" xfId="0" applyNumberFormat="1"/>
    <xf numFmtId="169" fontId="0" fillId="0" borderId="0" xfId="0" applyNumberFormat="1"/>
    <xf numFmtId="14" fontId="0" fillId="0" borderId="0" xfId="0" applyNumberFormat="1"/>
    <xf numFmtId="0" fontId="10" fillId="0" borderId="0" xfId="0" applyFont="1"/>
    <xf numFmtId="0" fontId="11" fillId="0" borderId="0" xfId="0" applyFont="1"/>
    <xf numFmtId="0" fontId="1" fillId="0" borderId="0" xfId="0" applyFont="1" applyAlignment="1">
      <alignment horizontal="left"/>
    </xf>
    <xf numFmtId="0" fontId="11" fillId="0" borderId="0" xfId="0" applyFont="1" applyAlignment="1">
      <alignment horizontal="left" vertical="center" indent="3"/>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3" fillId="3" borderId="3" xfId="0" applyFont="1"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0" xfId="0" applyFill="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0" borderId="0" xfId="0" applyNumberFormat="1"/>
    <xf numFmtId="0" fontId="12" fillId="4" borderId="0" xfId="0" applyFont="1" applyFill="1"/>
    <xf numFmtId="0" fontId="0" fillId="4" borderId="0" xfId="0" applyFill="1"/>
    <xf numFmtId="0" fontId="1" fillId="4" borderId="0" xfId="0" applyFont="1" applyFill="1"/>
  </cellXfs>
  <cellStyles count="3">
    <cellStyle name="Comma" xfId="2" builtinId="3"/>
    <cellStyle name="Normal" xfId="0" builtinId="0"/>
    <cellStyle name="Percent" xfId="1" builtinId="5"/>
  </cellStyles>
  <dxfs count="2">
    <dxf>
      <numFmt numFmtId="170" formatCode="_ * #,##0.0_ ;_ * \-#,##0.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count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Class_3_File!$D$259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Class_3_File!$C$260:$C$267</c:f>
              <c:strCache>
                <c:ptCount val="7"/>
                <c:pt idx="0">
                  <c:v>Bangalore</c:v>
                </c:pt>
                <c:pt idx="1">
                  <c:v>Chennai</c:v>
                </c:pt>
                <c:pt idx="2">
                  <c:v>Delhi</c:v>
                </c:pt>
                <c:pt idx="3">
                  <c:v>Hyderabad</c:v>
                </c:pt>
                <c:pt idx="4">
                  <c:v>Mumbai</c:v>
                </c:pt>
                <c:pt idx="5">
                  <c:v>Noida</c:v>
                </c:pt>
                <c:pt idx="6">
                  <c:v>Pune</c:v>
                </c:pt>
              </c:strCache>
            </c:strRef>
          </c:cat>
          <c:val>
            <c:numRef>
              <c:f>Class_3_File!$D$260:$D$267</c:f>
              <c:numCache>
                <c:formatCode>General</c:formatCode>
                <c:ptCount val="7"/>
                <c:pt idx="0">
                  <c:v>17</c:v>
                </c:pt>
                <c:pt idx="1">
                  <c:v>12</c:v>
                </c:pt>
                <c:pt idx="2">
                  <c:v>13</c:v>
                </c:pt>
                <c:pt idx="3">
                  <c:v>12</c:v>
                </c:pt>
                <c:pt idx="4">
                  <c:v>18</c:v>
                </c:pt>
                <c:pt idx="5">
                  <c:v>12</c:v>
                </c:pt>
                <c:pt idx="6">
                  <c:v>16</c:v>
                </c:pt>
              </c:numCache>
            </c:numRef>
          </c:val>
          <c:extLst>
            <c:ext xmlns:c16="http://schemas.microsoft.com/office/drawing/2014/chart" uri="{C3380CC4-5D6E-409C-BE32-E72D297353CC}">
              <c16:uniqueId val="{00000000-038F-4ECD-97CE-0690EC3C0BC3}"/>
            </c:ext>
          </c:extLst>
        </c:ser>
        <c:dLbls>
          <c:dLblPos val="outEnd"/>
          <c:showLegendKey val="0"/>
          <c:showVal val="1"/>
          <c:showCatName val="0"/>
          <c:showSerName val="0"/>
          <c:showPercent val="0"/>
          <c:showBubbleSize val="0"/>
        </c:dLbls>
        <c:gapWidth val="150"/>
        <c:axId val="1419695119"/>
        <c:axId val="122924399"/>
      </c:barChart>
      <c:catAx>
        <c:axId val="1419695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4399"/>
        <c:crosses val="autoZero"/>
        <c:auto val="1"/>
        <c:lblAlgn val="ctr"/>
        <c:lblOffset val="100"/>
        <c:noMultiLvlLbl val="0"/>
      </c:catAx>
      <c:valAx>
        <c:axId val="12292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69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Class_3_File!$D$275</c:f>
              <c:strCache>
                <c:ptCount val="1"/>
                <c:pt idx="0">
                  <c:v>Total</c:v>
                </c:pt>
              </c:strCache>
            </c:strRef>
          </c:tx>
          <c:spPr>
            <a:solidFill>
              <a:schemeClr val="accent1"/>
            </a:solidFill>
            <a:ln w="19050">
              <a:solidFill>
                <a:schemeClr val="lt1"/>
              </a:solidFill>
            </a:ln>
            <a:effectLst/>
          </c:spPr>
          <c:invertIfNegative val="0"/>
          <c:cat>
            <c:strRef>
              <c:f>Class_3_File!$C$276:$C$282</c:f>
              <c:strCache>
                <c:ptCount val="6"/>
                <c:pt idx="0">
                  <c:v>Admin</c:v>
                </c:pt>
                <c:pt idx="1">
                  <c:v>Finance</c:v>
                </c:pt>
                <c:pt idx="2">
                  <c:v>HR</c:v>
                </c:pt>
                <c:pt idx="3">
                  <c:v>IT</c:v>
                </c:pt>
                <c:pt idx="4">
                  <c:v>Marketing</c:v>
                </c:pt>
                <c:pt idx="5">
                  <c:v>Sales</c:v>
                </c:pt>
              </c:strCache>
            </c:strRef>
          </c:cat>
          <c:val>
            <c:numRef>
              <c:f>Class_3_File!$D$276:$D$282</c:f>
              <c:numCache>
                <c:formatCode>General</c:formatCode>
                <c:ptCount val="6"/>
                <c:pt idx="0">
                  <c:v>11326000</c:v>
                </c:pt>
                <c:pt idx="1">
                  <c:v>15842000</c:v>
                </c:pt>
                <c:pt idx="2">
                  <c:v>8643000</c:v>
                </c:pt>
                <c:pt idx="3">
                  <c:v>20508000</c:v>
                </c:pt>
                <c:pt idx="4">
                  <c:v>14605000</c:v>
                </c:pt>
                <c:pt idx="5">
                  <c:v>15047000</c:v>
                </c:pt>
              </c:numCache>
            </c:numRef>
          </c:val>
          <c:extLst>
            <c:ext xmlns:c16="http://schemas.microsoft.com/office/drawing/2014/chart" uri="{C3380CC4-5D6E-409C-BE32-E72D297353CC}">
              <c16:uniqueId val="{00000000-34CC-4BBB-945F-6DB23613ECD9}"/>
            </c:ext>
          </c:extLst>
        </c:ser>
        <c:dLbls>
          <c:showLegendKey val="0"/>
          <c:showVal val="0"/>
          <c:showCatName val="0"/>
          <c:showSerName val="0"/>
          <c:showPercent val="0"/>
          <c:showBubbleSize val="0"/>
        </c:dLbls>
        <c:gapWidth val="150"/>
        <c:axId val="1419750927"/>
        <c:axId val="122870639"/>
      </c:barChart>
      <c:valAx>
        <c:axId val="12287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750927"/>
        <c:crosses val="autoZero"/>
        <c:crossBetween val="between"/>
      </c:valAx>
      <c:catAx>
        <c:axId val="141975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0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Class_3_File!$D$289</c:f>
              <c:strCache>
                <c:ptCount val="1"/>
                <c:pt idx="0">
                  <c:v>Total</c:v>
                </c:pt>
              </c:strCache>
            </c:strRef>
          </c:tx>
          <c:spPr>
            <a:ln w="28575" cap="rnd">
              <a:solidFill>
                <a:schemeClr val="accent1"/>
              </a:solidFill>
              <a:round/>
            </a:ln>
            <a:effectLst/>
          </c:spPr>
          <c:marker>
            <c:symbol val="diamond"/>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Class_3_File!$C$290:$C$301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Class_3_File!$D$290:$D$301</c:f>
              <c:numCache>
                <c:formatCode>General</c:formatCode>
                <c:ptCount val="12"/>
                <c:pt idx="0">
                  <c:v>9</c:v>
                </c:pt>
                <c:pt idx="1">
                  <c:v>7</c:v>
                </c:pt>
                <c:pt idx="2">
                  <c:v>8</c:v>
                </c:pt>
                <c:pt idx="3">
                  <c:v>8</c:v>
                </c:pt>
                <c:pt idx="4">
                  <c:v>8</c:v>
                </c:pt>
                <c:pt idx="5">
                  <c:v>8</c:v>
                </c:pt>
                <c:pt idx="6">
                  <c:v>9</c:v>
                </c:pt>
                <c:pt idx="7">
                  <c:v>8</c:v>
                </c:pt>
                <c:pt idx="8">
                  <c:v>11</c:v>
                </c:pt>
                <c:pt idx="9">
                  <c:v>7</c:v>
                </c:pt>
                <c:pt idx="10">
                  <c:v>10</c:v>
                </c:pt>
                <c:pt idx="11">
                  <c:v>7</c:v>
                </c:pt>
              </c:numCache>
            </c:numRef>
          </c:val>
          <c:smooth val="0"/>
          <c:extLst>
            <c:ext xmlns:c16="http://schemas.microsoft.com/office/drawing/2014/chart" uri="{C3380CC4-5D6E-409C-BE32-E72D297353CC}">
              <c16:uniqueId val="{00000000-C8BD-4A10-8231-52FDCB819F6D}"/>
            </c:ext>
          </c:extLst>
        </c:ser>
        <c:dLbls>
          <c:dLblPos val="t"/>
          <c:showLegendKey val="0"/>
          <c:showVal val="1"/>
          <c:showCatName val="0"/>
          <c:showSerName val="0"/>
          <c:showPercent val="0"/>
          <c:showBubbleSize val="0"/>
        </c:dLbls>
        <c:marker val="1"/>
        <c:smooth val="0"/>
        <c:axId val="1500547007"/>
        <c:axId val="122835119"/>
      </c:lineChart>
      <c:catAx>
        <c:axId val="150054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119"/>
        <c:crosses val="autoZero"/>
        <c:auto val="1"/>
        <c:lblAlgn val="ctr"/>
        <c:lblOffset val="100"/>
        <c:noMultiLvlLbl val="0"/>
      </c:catAx>
      <c:valAx>
        <c:axId val="1228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4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Source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Class_3_File!$D$308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E7-4E09-87FE-B7D380FF63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E7-4E09-87FE-B7D380FF63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E7-4E09-87FE-B7D380FF63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E7-4E09-87FE-B7D380FF63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E7-4E09-87FE-B7D380FF63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Class_3_File!$C$309:$C$314</c:f>
              <c:strCache>
                <c:ptCount val="5"/>
                <c:pt idx="0">
                  <c:v>Campus</c:v>
                </c:pt>
                <c:pt idx="1">
                  <c:v>Freelance</c:v>
                </c:pt>
                <c:pt idx="2">
                  <c:v>Job Portal</c:v>
                </c:pt>
                <c:pt idx="3">
                  <c:v>LinkedIn</c:v>
                </c:pt>
                <c:pt idx="4">
                  <c:v>Referral</c:v>
                </c:pt>
              </c:strCache>
            </c:strRef>
          </c:cat>
          <c:val>
            <c:numRef>
              <c:f>Class_3_File!$D$309:$D$314</c:f>
              <c:numCache>
                <c:formatCode>General</c:formatCode>
                <c:ptCount val="5"/>
                <c:pt idx="0">
                  <c:v>7</c:v>
                </c:pt>
                <c:pt idx="1">
                  <c:v>13</c:v>
                </c:pt>
                <c:pt idx="2">
                  <c:v>35</c:v>
                </c:pt>
                <c:pt idx="3">
                  <c:v>20</c:v>
                </c:pt>
                <c:pt idx="4">
                  <c:v>25</c:v>
                </c:pt>
              </c:numCache>
            </c:numRef>
          </c:val>
          <c:extLst>
            <c:ext xmlns:c16="http://schemas.microsoft.com/office/drawing/2014/chart" uri="{C3380CC4-5D6E-409C-BE32-E72D297353CC}">
              <c16:uniqueId val="{00000000-348C-46D8-AA37-489CDF11C8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Distribution by Depart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Class_3_File!$D$321:$D$322</c:f>
              <c:strCache>
                <c:ptCount val="1"/>
                <c:pt idx="0">
                  <c:v>Female</c:v>
                </c:pt>
              </c:strCache>
            </c:strRef>
          </c:tx>
          <c:spPr>
            <a:solidFill>
              <a:schemeClr val="accent1"/>
            </a:solidFill>
            <a:ln>
              <a:noFill/>
            </a:ln>
            <a:effectLst/>
          </c:spPr>
          <c:invertIfNegative val="0"/>
          <c:cat>
            <c:strRef>
              <c:f>Class_3_File!$C$323:$C$328</c:f>
              <c:strCache>
                <c:ptCount val="6"/>
                <c:pt idx="0">
                  <c:v>Admin</c:v>
                </c:pt>
                <c:pt idx="1">
                  <c:v>Finance</c:v>
                </c:pt>
                <c:pt idx="2">
                  <c:v>HR</c:v>
                </c:pt>
                <c:pt idx="3">
                  <c:v>IT</c:v>
                </c:pt>
                <c:pt idx="4">
                  <c:v>Marketing</c:v>
                </c:pt>
                <c:pt idx="5">
                  <c:v>Sales</c:v>
                </c:pt>
              </c:strCache>
            </c:strRef>
          </c:cat>
          <c:val>
            <c:numRef>
              <c:f>Class_3_File!$D$323:$D$328</c:f>
              <c:numCache>
                <c:formatCode>General</c:formatCode>
                <c:ptCount val="6"/>
                <c:pt idx="0">
                  <c:v>10394000</c:v>
                </c:pt>
                <c:pt idx="1">
                  <c:v>1573000</c:v>
                </c:pt>
                <c:pt idx="2">
                  <c:v>8643000</c:v>
                </c:pt>
                <c:pt idx="3">
                  <c:v>11128000</c:v>
                </c:pt>
                <c:pt idx="4">
                  <c:v>3122000</c:v>
                </c:pt>
                <c:pt idx="5">
                  <c:v>1838000</c:v>
                </c:pt>
              </c:numCache>
            </c:numRef>
          </c:val>
          <c:extLst>
            <c:ext xmlns:c16="http://schemas.microsoft.com/office/drawing/2014/chart" uri="{C3380CC4-5D6E-409C-BE32-E72D297353CC}">
              <c16:uniqueId val="{00000000-506A-4C1B-9C04-3E6FA12F06BB}"/>
            </c:ext>
          </c:extLst>
        </c:ser>
        <c:ser>
          <c:idx val="1"/>
          <c:order val="1"/>
          <c:tx>
            <c:strRef>
              <c:f>Class_3_File!$E$321:$E$322</c:f>
              <c:strCache>
                <c:ptCount val="1"/>
                <c:pt idx="0">
                  <c:v>Male</c:v>
                </c:pt>
              </c:strCache>
            </c:strRef>
          </c:tx>
          <c:spPr>
            <a:solidFill>
              <a:schemeClr val="accent2"/>
            </a:solidFill>
            <a:ln>
              <a:noFill/>
            </a:ln>
            <a:effectLst/>
          </c:spPr>
          <c:invertIfNegative val="0"/>
          <c:cat>
            <c:strRef>
              <c:f>Class_3_File!$C$323:$C$328</c:f>
              <c:strCache>
                <c:ptCount val="6"/>
                <c:pt idx="0">
                  <c:v>Admin</c:v>
                </c:pt>
                <c:pt idx="1">
                  <c:v>Finance</c:v>
                </c:pt>
                <c:pt idx="2">
                  <c:v>HR</c:v>
                </c:pt>
                <c:pt idx="3">
                  <c:v>IT</c:v>
                </c:pt>
                <c:pt idx="4">
                  <c:v>Marketing</c:v>
                </c:pt>
                <c:pt idx="5">
                  <c:v>Sales</c:v>
                </c:pt>
              </c:strCache>
            </c:strRef>
          </c:cat>
          <c:val>
            <c:numRef>
              <c:f>Class_3_File!$E$323:$E$328</c:f>
              <c:numCache>
                <c:formatCode>General</c:formatCode>
                <c:ptCount val="6"/>
                <c:pt idx="0">
                  <c:v>932000</c:v>
                </c:pt>
                <c:pt idx="1">
                  <c:v>14269000</c:v>
                </c:pt>
                <c:pt idx="3">
                  <c:v>9380000</c:v>
                </c:pt>
                <c:pt idx="4">
                  <c:v>11483000</c:v>
                </c:pt>
                <c:pt idx="5">
                  <c:v>13209000</c:v>
                </c:pt>
              </c:numCache>
            </c:numRef>
          </c:val>
          <c:extLst>
            <c:ext xmlns:c16="http://schemas.microsoft.com/office/drawing/2014/chart" uri="{C3380CC4-5D6E-409C-BE32-E72D297353CC}">
              <c16:uniqueId val="{00000001-506A-4C1B-9C04-3E6FA12F06BB}"/>
            </c:ext>
          </c:extLst>
        </c:ser>
        <c:dLbls>
          <c:showLegendKey val="0"/>
          <c:showVal val="0"/>
          <c:showCatName val="0"/>
          <c:showSerName val="0"/>
          <c:showPercent val="0"/>
          <c:showBubbleSize val="0"/>
        </c:dLbls>
        <c:gapWidth val="219"/>
        <c:overlap val="100"/>
        <c:axId val="1509871743"/>
        <c:axId val="122910479"/>
      </c:barChart>
      <c:catAx>
        <c:axId val="150987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0479"/>
        <c:crosses val="autoZero"/>
        <c:auto val="1"/>
        <c:lblAlgn val="ctr"/>
        <c:lblOffset val="100"/>
        <c:noMultiLvlLbl val="0"/>
      </c:catAx>
      <c:valAx>
        <c:axId val="12291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7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count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Class_3_File!$D$259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Class_3_File!$C$260:$C$267</c:f>
              <c:strCache>
                <c:ptCount val="7"/>
                <c:pt idx="0">
                  <c:v>Bangalore</c:v>
                </c:pt>
                <c:pt idx="1">
                  <c:v>Chennai</c:v>
                </c:pt>
                <c:pt idx="2">
                  <c:v>Delhi</c:v>
                </c:pt>
                <c:pt idx="3">
                  <c:v>Hyderabad</c:v>
                </c:pt>
                <c:pt idx="4">
                  <c:v>Mumbai</c:v>
                </c:pt>
                <c:pt idx="5">
                  <c:v>Noida</c:v>
                </c:pt>
                <c:pt idx="6">
                  <c:v>Pune</c:v>
                </c:pt>
              </c:strCache>
            </c:strRef>
          </c:cat>
          <c:val>
            <c:numRef>
              <c:f>Class_3_File!$D$260:$D$267</c:f>
              <c:numCache>
                <c:formatCode>General</c:formatCode>
                <c:ptCount val="7"/>
                <c:pt idx="0">
                  <c:v>17</c:v>
                </c:pt>
                <c:pt idx="1">
                  <c:v>12</c:v>
                </c:pt>
                <c:pt idx="2">
                  <c:v>13</c:v>
                </c:pt>
                <c:pt idx="3">
                  <c:v>12</c:v>
                </c:pt>
                <c:pt idx="4">
                  <c:v>18</c:v>
                </c:pt>
                <c:pt idx="5">
                  <c:v>12</c:v>
                </c:pt>
                <c:pt idx="6">
                  <c:v>16</c:v>
                </c:pt>
              </c:numCache>
            </c:numRef>
          </c:val>
          <c:extLst>
            <c:ext xmlns:c16="http://schemas.microsoft.com/office/drawing/2014/chart" uri="{C3380CC4-5D6E-409C-BE32-E72D297353CC}">
              <c16:uniqueId val="{00000000-E3D8-4BA8-9616-34A4D31F05C2}"/>
            </c:ext>
          </c:extLst>
        </c:ser>
        <c:dLbls>
          <c:dLblPos val="outEnd"/>
          <c:showLegendKey val="0"/>
          <c:showVal val="1"/>
          <c:showCatName val="0"/>
          <c:showSerName val="0"/>
          <c:showPercent val="0"/>
          <c:showBubbleSize val="0"/>
        </c:dLbls>
        <c:gapWidth val="150"/>
        <c:axId val="1419695119"/>
        <c:axId val="122924399"/>
      </c:barChart>
      <c:catAx>
        <c:axId val="1419695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4399"/>
        <c:crosses val="autoZero"/>
        <c:auto val="1"/>
        <c:lblAlgn val="ctr"/>
        <c:lblOffset val="100"/>
        <c:noMultiLvlLbl val="0"/>
      </c:catAx>
      <c:valAx>
        <c:axId val="12292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69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Class_3_File!$D$275</c:f>
              <c:strCache>
                <c:ptCount val="1"/>
                <c:pt idx="0">
                  <c:v>Total</c:v>
                </c:pt>
              </c:strCache>
            </c:strRef>
          </c:tx>
          <c:spPr>
            <a:solidFill>
              <a:schemeClr val="accent1"/>
            </a:solidFill>
            <a:ln w="19050">
              <a:solidFill>
                <a:schemeClr val="lt1"/>
              </a:solidFill>
            </a:ln>
            <a:effectLst/>
          </c:spPr>
          <c:invertIfNegative val="0"/>
          <c:cat>
            <c:strRef>
              <c:f>Class_3_File!$C$276:$C$282</c:f>
              <c:strCache>
                <c:ptCount val="6"/>
                <c:pt idx="0">
                  <c:v>Admin</c:v>
                </c:pt>
                <c:pt idx="1">
                  <c:v>Finance</c:v>
                </c:pt>
                <c:pt idx="2">
                  <c:v>HR</c:v>
                </c:pt>
                <c:pt idx="3">
                  <c:v>IT</c:v>
                </c:pt>
                <c:pt idx="4">
                  <c:v>Marketing</c:v>
                </c:pt>
                <c:pt idx="5">
                  <c:v>Sales</c:v>
                </c:pt>
              </c:strCache>
            </c:strRef>
          </c:cat>
          <c:val>
            <c:numRef>
              <c:f>Class_3_File!$D$276:$D$282</c:f>
              <c:numCache>
                <c:formatCode>General</c:formatCode>
                <c:ptCount val="6"/>
                <c:pt idx="0">
                  <c:v>11326000</c:v>
                </c:pt>
                <c:pt idx="1">
                  <c:v>15842000</c:v>
                </c:pt>
                <c:pt idx="2">
                  <c:v>8643000</c:v>
                </c:pt>
                <c:pt idx="3">
                  <c:v>20508000</c:v>
                </c:pt>
                <c:pt idx="4">
                  <c:v>14605000</c:v>
                </c:pt>
                <c:pt idx="5">
                  <c:v>15047000</c:v>
                </c:pt>
              </c:numCache>
            </c:numRef>
          </c:val>
          <c:extLst>
            <c:ext xmlns:c16="http://schemas.microsoft.com/office/drawing/2014/chart" uri="{C3380CC4-5D6E-409C-BE32-E72D297353CC}">
              <c16:uniqueId val="{00000000-CB37-4C0B-948E-6ADA7E9B077A}"/>
            </c:ext>
          </c:extLst>
        </c:ser>
        <c:dLbls>
          <c:showLegendKey val="0"/>
          <c:showVal val="0"/>
          <c:showCatName val="0"/>
          <c:showSerName val="0"/>
          <c:showPercent val="0"/>
          <c:showBubbleSize val="0"/>
        </c:dLbls>
        <c:gapWidth val="150"/>
        <c:axId val="1419750927"/>
        <c:axId val="122870639"/>
      </c:barChart>
      <c:valAx>
        <c:axId val="12287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750927"/>
        <c:crosses val="autoZero"/>
        <c:crossBetween val="between"/>
      </c:valAx>
      <c:catAx>
        <c:axId val="141975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0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Class_3_File!$D$289</c:f>
              <c:strCache>
                <c:ptCount val="1"/>
                <c:pt idx="0">
                  <c:v>Total</c:v>
                </c:pt>
              </c:strCache>
            </c:strRef>
          </c:tx>
          <c:spPr>
            <a:ln w="28575" cap="rnd">
              <a:solidFill>
                <a:schemeClr val="accent1"/>
              </a:solidFill>
              <a:round/>
            </a:ln>
            <a:effectLst/>
          </c:spPr>
          <c:marker>
            <c:symbol val="diamond"/>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Class_3_File!$C$290:$C$301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Class_3_File!$D$290:$D$301</c:f>
              <c:numCache>
                <c:formatCode>General</c:formatCode>
                <c:ptCount val="12"/>
                <c:pt idx="0">
                  <c:v>9</c:v>
                </c:pt>
                <c:pt idx="1">
                  <c:v>7</c:v>
                </c:pt>
                <c:pt idx="2">
                  <c:v>8</c:v>
                </c:pt>
                <c:pt idx="3">
                  <c:v>8</c:v>
                </c:pt>
                <c:pt idx="4">
                  <c:v>8</c:v>
                </c:pt>
                <c:pt idx="5">
                  <c:v>8</c:v>
                </c:pt>
                <c:pt idx="6">
                  <c:v>9</c:v>
                </c:pt>
                <c:pt idx="7">
                  <c:v>8</c:v>
                </c:pt>
                <c:pt idx="8">
                  <c:v>11</c:v>
                </c:pt>
                <c:pt idx="9">
                  <c:v>7</c:v>
                </c:pt>
                <c:pt idx="10">
                  <c:v>10</c:v>
                </c:pt>
                <c:pt idx="11">
                  <c:v>7</c:v>
                </c:pt>
              </c:numCache>
            </c:numRef>
          </c:val>
          <c:smooth val="0"/>
          <c:extLst>
            <c:ext xmlns:c16="http://schemas.microsoft.com/office/drawing/2014/chart" uri="{C3380CC4-5D6E-409C-BE32-E72D297353CC}">
              <c16:uniqueId val="{00000000-579B-4A04-A763-1D1FBE6FA1F8}"/>
            </c:ext>
          </c:extLst>
        </c:ser>
        <c:dLbls>
          <c:dLblPos val="t"/>
          <c:showLegendKey val="0"/>
          <c:showVal val="1"/>
          <c:showCatName val="0"/>
          <c:showSerName val="0"/>
          <c:showPercent val="0"/>
          <c:showBubbleSize val="0"/>
        </c:dLbls>
        <c:marker val="1"/>
        <c:smooth val="0"/>
        <c:axId val="1500547007"/>
        <c:axId val="122835119"/>
      </c:lineChart>
      <c:catAx>
        <c:axId val="150054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119"/>
        <c:crosses val="autoZero"/>
        <c:auto val="1"/>
        <c:lblAlgn val="ctr"/>
        <c:lblOffset val="100"/>
        <c:noMultiLvlLbl val="0"/>
      </c:catAx>
      <c:valAx>
        <c:axId val="1228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4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Distribution by Depart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Class_3_File!$D$321:$D$322</c:f>
              <c:strCache>
                <c:ptCount val="1"/>
                <c:pt idx="0">
                  <c:v>Female</c:v>
                </c:pt>
              </c:strCache>
            </c:strRef>
          </c:tx>
          <c:spPr>
            <a:solidFill>
              <a:schemeClr val="accent1"/>
            </a:solidFill>
            <a:ln>
              <a:noFill/>
            </a:ln>
            <a:effectLst/>
          </c:spPr>
          <c:invertIfNegative val="0"/>
          <c:cat>
            <c:strRef>
              <c:f>Class_3_File!$C$323:$C$328</c:f>
              <c:strCache>
                <c:ptCount val="6"/>
                <c:pt idx="0">
                  <c:v>Admin</c:v>
                </c:pt>
                <c:pt idx="1">
                  <c:v>Finance</c:v>
                </c:pt>
                <c:pt idx="2">
                  <c:v>HR</c:v>
                </c:pt>
                <c:pt idx="3">
                  <c:v>IT</c:v>
                </c:pt>
                <c:pt idx="4">
                  <c:v>Marketing</c:v>
                </c:pt>
                <c:pt idx="5">
                  <c:v>Sales</c:v>
                </c:pt>
              </c:strCache>
            </c:strRef>
          </c:cat>
          <c:val>
            <c:numRef>
              <c:f>Class_3_File!$D$323:$D$328</c:f>
              <c:numCache>
                <c:formatCode>General</c:formatCode>
                <c:ptCount val="6"/>
                <c:pt idx="0">
                  <c:v>10394000</c:v>
                </c:pt>
                <c:pt idx="1">
                  <c:v>1573000</c:v>
                </c:pt>
                <c:pt idx="2">
                  <c:v>8643000</c:v>
                </c:pt>
                <c:pt idx="3">
                  <c:v>11128000</c:v>
                </c:pt>
                <c:pt idx="4">
                  <c:v>3122000</c:v>
                </c:pt>
                <c:pt idx="5">
                  <c:v>1838000</c:v>
                </c:pt>
              </c:numCache>
            </c:numRef>
          </c:val>
          <c:extLst>
            <c:ext xmlns:c16="http://schemas.microsoft.com/office/drawing/2014/chart" uri="{C3380CC4-5D6E-409C-BE32-E72D297353CC}">
              <c16:uniqueId val="{00000000-12E7-4174-9CC8-B242550D246A}"/>
            </c:ext>
          </c:extLst>
        </c:ser>
        <c:ser>
          <c:idx val="1"/>
          <c:order val="1"/>
          <c:tx>
            <c:strRef>
              <c:f>Class_3_File!$E$321:$E$322</c:f>
              <c:strCache>
                <c:ptCount val="1"/>
                <c:pt idx="0">
                  <c:v>Male</c:v>
                </c:pt>
              </c:strCache>
            </c:strRef>
          </c:tx>
          <c:spPr>
            <a:solidFill>
              <a:schemeClr val="accent2"/>
            </a:solidFill>
            <a:ln>
              <a:noFill/>
            </a:ln>
            <a:effectLst/>
          </c:spPr>
          <c:invertIfNegative val="0"/>
          <c:cat>
            <c:strRef>
              <c:f>Class_3_File!$C$323:$C$328</c:f>
              <c:strCache>
                <c:ptCount val="6"/>
                <c:pt idx="0">
                  <c:v>Admin</c:v>
                </c:pt>
                <c:pt idx="1">
                  <c:v>Finance</c:v>
                </c:pt>
                <c:pt idx="2">
                  <c:v>HR</c:v>
                </c:pt>
                <c:pt idx="3">
                  <c:v>IT</c:v>
                </c:pt>
                <c:pt idx="4">
                  <c:v>Marketing</c:v>
                </c:pt>
                <c:pt idx="5">
                  <c:v>Sales</c:v>
                </c:pt>
              </c:strCache>
            </c:strRef>
          </c:cat>
          <c:val>
            <c:numRef>
              <c:f>Class_3_File!$E$323:$E$328</c:f>
              <c:numCache>
                <c:formatCode>General</c:formatCode>
                <c:ptCount val="6"/>
                <c:pt idx="0">
                  <c:v>932000</c:v>
                </c:pt>
                <c:pt idx="1">
                  <c:v>14269000</c:v>
                </c:pt>
                <c:pt idx="3">
                  <c:v>9380000</c:v>
                </c:pt>
                <c:pt idx="4">
                  <c:v>11483000</c:v>
                </c:pt>
                <c:pt idx="5">
                  <c:v>13209000</c:v>
                </c:pt>
              </c:numCache>
            </c:numRef>
          </c:val>
          <c:extLst>
            <c:ext xmlns:c16="http://schemas.microsoft.com/office/drawing/2014/chart" uri="{C3380CC4-5D6E-409C-BE32-E72D297353CC}">
              <c16:uniqueId val="{00000001-12E7-4174-9CC8-B242550D246A}"/>
            </c:ext>
          </c:extLst>
        </c:ser>
        <c:dLbls>
          <c:showLegendKey val="0"/>
          <c:showVal val="0"/>
          <c:showCatName val="0"/>
          <c:showSerName val="0"/>
          <c:showPercent val="0"/>
          <c:showBubbleSize val="0"/>
        </c:dLbls>
        <c:gapWidth val="219"/>
        <c:overlap val="100"/>
        <c:axId val="1509871743"/>
        <c:axId val="122910479"/>
      </c:barChart>
      <c:catAx>
        <c:axId val="150987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0479"/>
        <c:crosses val="autoZero"/>
        <c:auto val="1"/>
        <c:lblAlgn val="ctr"/>
        <c:lblOffset val="100"/>
        <c:noMultiLvlLbl val="0"/>
      </c:catAx>
      <c:valAx>
        <c:axId val="12291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7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[HR_Data_Excel.xlsx]Class_3_File!PivotTable15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Source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Class_3_File!$D$308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B0-474B-931A-627D8E2DF2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0-474B-931A-627D8E2DF2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B0-474B-931A-627D8E2DF2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B0-474B-931A-627D8E2DF2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B0-474B-931A-627D8E2DF2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Class_3_File!$C$309:$C$314</c:f>
              <c:strCache>
                <c:ptCount val="5"/>
                <c:pt idx="0">
                  <c:v>Campus</c:v>
                </c:pt>
                <c:pt idx="1">
                  <c:v>Freelance</c:v>
                </c:pt>
                <c:pt idx="2">
                  <c:v>Job Portal</c:v>
                </c:pt>
                <c:pt idx="3">
                  <c:v>LinkedIn</c:v>
                </c:pt>
                <c:pt idx="4">
                  <c:v>Referral</c:v>
                </c:pt>
              </c:strCache>
            </c:strRef>
          </c:cat>
          <c:val>
            <c:numRef>
              <c:f>Class_3_File!$D$309:$D$314</c:f>
              <c:numCache>
                <c:formatCode>General</c:formatCode>
                <c:ptCount val="5"/>
                <c:pt idx="0">
                  <c:v>7</c:v>
                </c:pt>
                <c:pt idx="1">
                  <c:v>13</c:v>
                </c:pt>
                <c:pt idx="2">
                  <c:v>35</c:v>
                </c:pt>
                <c:pt idx="3">
                  <c:v>20</c:v>
                </c:pt>
                <c:pt idx="4">
                  <c:v>25</c:v>
                </c:pt>
              </c:numCache>
            </c:numRef>
          </c:val>
          <c:extLst>
            <c:ext xmlns:c16="http://schemas.microsoft.com/office/drawing/2014/chart" uri="{C3380CC4-5D6E-409C-BE32-E72D297353CC}">
              <c16:uniqueId val="{0000000A-64B0-474B-931A-627D8E2DF2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196850</xdr:colOff>
      <xdr:row>254</xdr:row>
      <xdr:rowOff>149225</xdr:rowOff>
    </xdr:from>
    <xdr:to>
      <xdr:col>8</xdr:col>
      <xdr:colOff>1308100</xdr:colOff>
      <xdr:row>267</xdr:row>
      <xdr:rowOff>146050</xdr:rowOff>
    </xdr:to>
    <xdr:graphicFrame macro="">
      <xdr:nvGraphicFramePr>
        <xdr:cNvPr id="3" name="Chart 2">
          <a:extLst>
            <a:ext uri="{FF2B5EF4-FFF2-40B4-BE49-F238E27FC236}">
              <a16:creationId xmlns:a16="http://schemas.microsoft.com/office/drawing/2014/main" id="{B5DEB354-D890-12A7-B32A-46685196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279400</xdr:colOff>
      <xdr:row>268</xdr:row>
      <xdr:rowOff>66675</xdr:rowOff>
    </xdr:from>
    <xdr:to>
      <xdr:col>8</xdr:col>
      <xdr:colOff>1206500</xdr:colOff>
      <xdr:row>281</xdr:row>
      <xdr:rowOff>44450</xdr:rowOff>
    </xdr:to>
    <xdr:graphicFrame macro="">
      <xdr:nvGraphicFramePr>
        <xdr:cNvPr id="4" name="Chart 3">
          <a:extLst>
            <a:ext uri="{FF2B5EF4-FFF2-40B4-BE49-F238E27FC236}">
              <a16:creationId xmlns:a16="http://schemas.microsoft.com/office/drawing/2014/main" id="{0C0AFFD7-00E9-A3F4-30F1-E556F3FB2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196850</xdr:colOff>
      <xdr:row>286</xdr:row>
      <xdr:rowOff>34925</xdr:rowOff>
    </xdr:from>
    <xdr:to>
      <xdr:col>8</xdr:col>
      <xdr:colOff>863600</xdr:colOff>
      <xdr:row>301</xdr:row>
      <xdr:rowOff>6350</xdr:rowOff>
    </xdr:to>
    <xdr:graphicFrame macro="">
      <xdr:nvGraphicFramePr>
        <xdr:cNvPr id="5" name="Chart 4">
          <a:extLst>
            <a:ext uri="{FF2B5EF4-FFF2-40B4-BE49-F238E27FC236}">
              <a16:creationId xmlns:a16="http://schemas.microsoft.com/office/drawing/2014/main" id="{9C9EB280-56D9-FD43-E764-5C8A75A7D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301</xdr:row>
      <xdr:rowOff>53975</xdr:rowOff>
    </xdr:from>
    <xdr:to>
      <xdr:col>8</xdr:col>
      <xdr:colOff>831850</xdr:colOff>
      <xdr:row>314</xdr:row>
      <xdr:rowOff>158750</xdr:rowOff>
    </xdr:to>
    <xdr:graphicFrame macro="">
      <xdr:nvGraphicFramePr>
        <xdr:cNvPr id="6" name="Chart 5">
          <a:extLst>
            <a:ext uri="{FF2B5EF4-FFF2-40B4-BE49-F238E27FC236}">
              <a16:creationId xmlns:a16="http://schemas.microsoft.com/office/drawing/2014/main" id="{9353A146-3527-6149-71EA-556CE4A65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6350</xdr:colOff>
      <xdr:row>315</xdr:row>
      <xdr:rowOff>98425</xdr:rowOff>
    </xdr:from>
    <xdr:to>
      <xdr:col>8</xdr:col>
      <xdr:colOff>1060450</xdr:colOff>
      <xdr:row>329</xdr:row>
      <xdr:rowOff>57150</xdr:rowOff>
    </xdr:to>
    <xdr:graphicFrame macro="">
      <xdr:nvGraphicFramePr>
        <xdr:cNvPr id="7" name="Chart 6">
          <a:extLst>
            <a:ext uri="{FF2B5EF4-FFF2-40B4-BE49-F238E27FC236}">
              <a16:creationId xmlns:a16="http://schemas.microsoft.com/office/drawing/2014/main" id="{70400BD3-CC73-DE86-05E2-182F0537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5</xdr:row>
      <xdr:rowOff>82551</xdr:rowOff>
    </xdr:from>
    <xdr:to>
      <xdr:col>15</xdr:col>
      <xdr:colOff>571500</xdr:colOff>
      <xdr:row>14</xdr:row>
      <xdr:rowOff>50800</xdr:rowOff>
    </xdr:to>
    <xdr:graphicFrame macro="">
      <xdr:nvGraphicFramePr>
        <xdr:cNvPr id="2" name="Chart 1">
          <a:extLst>
            <a:ext uri="{FF2B5EF4-FFF2-40B4-BE49-F238E27FC236}">
              <a16:creationId xmlns:a16="http://schemas.microsoft.com/office/drawing/2014/main" id="{037C021B-54B2-477D-A224-F310C1068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368300</xdr:colOff>
      <xdr:row>5</xdr:row>
      <xdr:rowOff>69851</xdr:rowOff>
    </xdr:from>
    <xdr:to>
      <xdr:col>8</xdr:col>
      <xdr:colOff>203200</xdr:colOff>
      <xdr:row>14</xdr:row>
      <xdr:rowOff>38100</xdr:rowOff>
    </xdr:to>
    <xdr:graphicFrame macro="">
      <xdr:nvGraphicFramePr>
        <xdr:cNvPr id="3" name="Chart 2">
          <a:extLst>
            <a:ext uri="{FF2B5EF4-FFF2-40B4-BE49-F238E27FC236}">
              <a16:creationId xmlns:a16="http://schemas.microsoft.com/office/drawing/2014/main" id="{C6253AC5-DD4C-4D6B-BEDF-762387EF7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26</xdr:row>
      <xdr:rowOff>95251</xdr:rowOff>
    </xdr:from>
    <xdr:to>
      <xdr:col>15</xdr:col>
      <xdr:colOff>577850</xdr:colOff>
      <xdr:row>35</xdr:row>
      <xdr:rowOff>146050</xdr:rowOff>
    </xdr:to>
    <xdr:graphicFrame macro="">
      <xdr:nvGraphicFramePr>
        <xdr:cNvPr id="4" name="Chart 3">
          <a:extLst>
            <a:ext uri="{FF2B5EF4-FFF2-40B4-BE49-F238E27FC236}">
              <a16:creationId xmlns:a16="http://schemas.microsoft.com/office/drawing/2014/main" id="{8B3AC632-E5C4-4232-99D1-5731223F3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25400</xdr:colOff>
      <xdr:row>14</xdr:row>
      <xdr:rowOff>63499</xdr:rowOff>
    </xdr:from>
    <xdr:to>
      <xdr:col>15</xdr:col>
      <xdr:colOff>571500</xdr:colOff>
      <xdr:row>26</xdr:row>
      <xdr:rowOff>69850</xdr:rowOff>
    </xdr:to>
    <xdr:graphicFrame macro="">
      <xdr:nvGraphicFramePr>
        <xdr:cNvPr id="7" name="Chart 6">
          <a:extLst>
            <a:ext uri="{FF2B5EF4-FFF2-40B4-BE49-F238E27FC236}">
              <a16:creationId xmlns:a16="http://schemas.microsoft.com/office/drawing/2014/main" id="{1F8E1EBB-CFDA-4EB8-B9A9-BD4F7531E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361950</xdr:colOff>
      <xdr:row>14</xdr:row>
      <xdr:rowOff>38099</xdr:rowOff>
    </xdr:from>
    <xdr:to>
      <xdr:col>7</xdr:col>
      <xdr:colOff>596900</xdr:colOff>
      <xdr:row>26</xdr:row>
      <xdr:rowOff>69850</xdr:rowOff>
    </xdr:to>
    <xdr:graphicFrame macro="">
      <xdr:nvGraphicFramePr>
        <xdr:cNvPr id="8" name="Chart 7">
          <a:extLst>
            <a:ext uri="{FF2B5EF4-FFF2-40B4-BE49-F238E27FC236}">
              <a16:creationId xmlns:a16="http://schemas.microsoft.com/office/drawing/2014/main" id="{8F8FCB20-DDA2-4EA5-85A4-A219AAA7B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127000</xdr:rowOff>
    </xdr:from>
    <xdr:to>
      <xdr:col>2</xdr:col>
      <xdr:colOff>317500</xdr:colOff>
      <xdr:row>17</xdr:row>
      <xdr:rowOff>50800</xdr:rowOff>
    </xdr:to>
    <mc:AlternateContent xmlns:mc="http://schemas.openxmlformats.org/markup-compatibility/2006">
      <mc:Choice xmlns:a14="http://schemas.microsoft.com/office/drawing/2010/main" Requires="a14">
        <xdr:graphicFrame macro="">
          <xdr:nvGraphicFramePr>
            <xdr:cNvPr id="10" name="Dept_Name">
              <a:extLst>
                <a:ext uri="{FF2B5EF4-FFF2-40B4-BE49-F238E27FC236}">
                  <a16:creationId xmlns:a16="http://schemas.microsoft.com/office/drawing/2014/main" id="{902C3BEA-5271-DDBD-AEFD-4E552AD13809}"/>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dr:sp macro="" textlink="">
          <xdr:nvSpPr>
            <xdr:cNvPr id="0" name=""/>
            <xdr:cNvSpPr>
              <a:spLocks noTextEdit="1"/>
            </xdr:cNvSpPr>
          </xdr:nvSpPr>
          <xdr:spPr>
            <a:xfrm>
              <a:off x="0" y="1045482"/>
              <a:ext cx="1542143" cy="2100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17</xdr:row>
      <xdr:rowOff>101600</xdr:rowOff>
    </xdr:from>
    <xdr:to>
      <xdr:col>2</xdr:col>
      <xdr:colOff>304800</xdr:colOff>
      <xdr:row>24</xdr:row>
      <xdr:rowOff>38100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A47CAF51-6600-FE8C-E227-FC69B8763E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3197225"/>
              <a:ext cx="1504043"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3</xdr:row>
      <xdr:rowOff>12700</xdr:rowOff>
    </xdr:from>
    <xdr:to>
      <xdr:col>5</xdr:col>
      <xdr:colOff>165100</xdr:colOff>
      <xdr:row>5</xdr:row>
      <xdr:rowOff>76200</xdr:rowOff>
    </xdr:to>
    <xdr:sp macro="" textlink="">
      <xdr:nvSpPr>
        <xdr:cNvPr id="5" name="Rectangle: Rounded Corners 4">
          <a:extLst>
            <a:ext uri="{FF2B5EF4-FFF2-40B4-BE49-F238E27FC236}">
              <a16:creationId xmlns:a16="http://schemas.microsoft.com/office/drawing/2014/main" id="{E5A0EBAF-5BAA-8364-6870-708CE61F49DE}"/>
            </a:ext>
          </a:extLst>
        </xdr:cNvPr>
        <xdr:cNvSpPr/>
      </xdr:nvSpPr>
      <xdr:spPr>
        <a:xfrm>
          <a:off x="342900" y="584200"/>
          <a:ext cx="2870200" cy="4445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1" i="0" u="none" strike="noStrike">
              <a:solidFill>
                <a:schemeClr val="dk1"/>
              </a:solidFill>
              <a:effectLst/>
              <a:latin typeface="+mn-lt"/>
              <a:ea typeface="+mn-ea"/>
              <a:cs typeface="+mn-cs"/>
            </a:rPr>
            <a:t>Total_Salary=  85,971,000 </a:t>
          </a:r>
          <a:endParaRPr lang="en-US" sz="3200" b="1"/>
        </a:p>
      </xdr:txBody>
    </xdr:sp>
    <xdr:clientData/>
  </xdr:twoCellAnchor>
  <xdr:twoCellAnchor>
    <xdr:from>
      <xdr:col>10</xdr:col>
      <xdr:colOff>401864</xdr:colOff>
      <xdr:row>2</xdr:row>
      <xdr:rowOff>171450</xdr:rowOff>
    </xdr:from>
    <xdr:to>
      <xdr:col>15</xdr:col>
      <xdr:colOff>439964</xdr:colOff>
      <xdr:row>5</xdr:row>
      <xdr:rowOff>54882</xdr:rowOff>
    </xdr:to>
    <xdr:sp macro="" textlink="">
      <xdr:nvSpPr>
        <xdr:cNvPr id="11" name="Rectangle: Rounded Corners 10">
          <a:extLst>
            <a:ext uri="{FF2B5EF4-FFF2-40B4-BE49-F238E27FC236}">
              <a16:creationId xmlns:a16="http://schemas.microsoft.com/office/drawing/2014/main" id="{05E2AF2E-C27B-4A67-8DCF-BEB17C5BCBB8}"/>
            </a:ext>
          </a:extLst>
        </xdr:cNvPr>
        <xdr:cNvSpPr/>
      </xdr:nvSpPr>
      <xdr:spPr>
        <a:xfrm>
          <a:off x="6525078" y="534307"/>
          <a:ext cx="3099707" cy="43905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1" i="0" u="none" strike="noStrike">
              <a:solidFill>
                <a:schemeClr val="dk1"/>
              </a:solidFill>
              <a:effectLst/>
              <a:latin typeface="+mn-lt"/>
              <a:ea typeface="+mn-ea"/>
              <a:cs typeface="+mn-cs"/>
            </a:rPr>
            <a:t>Total Departments=</a:t>
          </a:r>
          <a:r>
            <a:rPr lang="en-US" sz="1800" b="1">
              <a:effectLst/>
            </a:rPr>
            <a:t> </a:t>
          </a:r>
          <a:r>
            <a:rPr lang="en-US" sz="1800" b="1" i="0" u="none" strike="noStrike">
              <a:solidFill>
                <a:schemeClr val="dk1"/>
              </a:solidFill>
              <a:effectLst/>
              <a:latin typeface="+mn-lt"/>
              <a:ea typeface="+mn-ea"/>
              <a:cs typeface="+mn-cs"/>
            </a:rPr>
            <a:t>6</a:t>
          </a:r>
          <a:r>
            <a:rPr lang="en-US" sz="1800" b="1">
              <a:effectLst/>
            </a:rPr>
            <a:t> </a:t>
          </a:r>
          <a:endParaRPr lang="en-US" sz="1800" b="1"/>
        </a:p>
      </xdr:txBody>
    </xdr:sp>
    <xdr:clientData/>
  </xdr:twoCellAnchor>
  <xdr:twoCellAnchor>
    <xdr:from>
      <xdr:col>5</xdr:col>
      <xdr:colOff>307068</xdr:colOff>
      <xdr:row>3</xdr:row>
      <xdr:rowOff>1361</xdr:rowOff>
    </xdr:from>
    <xdr:to>
      <xdr:col>10</xdr:col>
      <xdr:colOff>256268</xdr:colOff>
      <xdr:row>5</xdr:row>
      <xdr:rowOff>64861</xdr:rowOff>
    </xdr:to>
    <xdr:sp macro="" textlink="">
      <xdr:nvSpPr>
        <xdr:cNvPr id="13" name="Rectangle: Rounded Corners 12">
          <a:extLst>
            <a:ext uri="{FF2B5EF4-FFF2-40B4-BE49-F238E27FC236}">
              <a16:creationId xmlns:a16="http://schemas.microsoft.com/office/drawing/2014/main" id="{257A1DFC-5F1D-4F4B-8FA1-0E6578FD53F9}"/>
            </a:ext>
          </a:extLst>
        </xdr:cNvPr>
        <xdr:cNvSpPr/>
      </xdr:nvSpPr>
      <xdr:spPr>
        <a:xfrm>
          <a:off x="3368675" y="556986"/>
          <a:ext cx="3010807" cy="42635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1" i="0" u="none" strike="noStrike">
              <a:solidFill>
                <a:schemeClr val="dk1"/>
              </a:solidFill>
              <a:effectLst/>
              <a:latin typeface="+mn-lt"/>
              <a:ea typeface="+mn-ea"/>
              <a:cs typeface="+mn-cs"/>
            </a:rPr>
            <a:t>Total_Employees= </a:t>
          </a:r>
          <a:r>
            <a:rPr lang="en-US" sz="1800" b="1">
              <a:effectLst/>
            </a:rPr>
            <a:t> </a:t>
          </a:r>
          <a:r>
            <a:rPr lang="en-US" sz="1800" b="1" i="0" u="none" strike="noStrike">
              <a:solidFill>
                <a:schemeClr val="dk1"/>
              </a:solidFill>
              <a:effectLst/>
              <a:latin typeface="+mn-lt"/>
              <a:ea typeface="+mn-ea"/>
              <a:cs typeface="+mn-cs"/>
            </a:rPr>
            <a:t>100</a:t>
          </a:r>
          <a:r>
            <a:rPr lang="en-US" sz="1800" b="1">
              <a:effectLst/>
            </a:rPr>
            <a:t> </a:t>
          </a:r>
          <a:endParaRPr lang="en-US"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u Sharma" refreshedDate="46228.76590648148" createdVersion="8" refreshedVersion="8" minRefreshableVersion="3" recordCount="94" xr:uid="{D5897240-8836-4CB7-8C01-C55D0B4A6943}">
  <cacheSource type="worksheet">
    <worksheetSource ref="A1:AF95" sheet="Class_3_File"/>
  </cacheSource>
  <cacheFields count="32">
    <cacheField name="Emp_ID" numFmtId="0">
      <sharedItems/>
    </cacheField>
    <cacheField name="Date_of_Birth" numFmtId="14">
      <sharedItems containsSemiMixedTypes="0" containsNonDate="0" containsDate="1" containsString="0" minDate="1984-01-03T00:00:00" maxDate="1995-08-21T00:00:00"/>
    </cacheField>
    <cacheField name="Age" numFmtId="0">
      <sharedItems containsString="0" containsBlank="1" containsNumber="1" containsInteger="1" minValue="29" maxValue="40"/>
    </cacheField>
    <cacheField name="Hire_Date" numFmtId="14">
      <sharedItems containsSemiMixedTypes="0" containsNonDate="0" containsDate="1" containsString="0" minDate="2014-12-10T00:00:00" maxDate="2023-02-13T00:00:00"/>
    </cacheField>
    <cacheField name="Hiring Source" numFmtId="0">
      <sharedItems/>
    </cacheField>
    <cacheField name="Dept_ID" numFmtId="0">
      <sharedItems/>
    </cacheField>
    <cacheField name="Job_Title" numFmtId="0">
      <sharedItems/>
    </cacheField>
    <cacheField name="Employment_Type" numFmtId="0">
      <sharedItems/>
    </cacheField>
    <cacheField name="Manager_ID" numFmtId="0">
      <sharedItems/>
    </cacheField>
    <cacheField name="Base_Salary" numFmtId="0">
      <sharedItems containsSemiMixedTypes="0" containsString="0" containsNumber="1" containsInteger="1" minValue="520000" maxValue="1450000"/>
    </cacheField>
    <cacheField name="Bonus" numFmtId="0">
      <sharedItems containsSemiMixedTypes="0" containsString="0" containsNumber="1" containsInteger="1" minValue="40000" maxValue="165000"/>
    </cacheField>
    <cacheField name="Total_Salary" numFmtId="0">
      <sharedItems containsSemiMixedTypes="0" containsString="0" containsNumber="1" containsInteger="1" minValue="560000" maxValue="1615000"/>
    </cacheField>
    <cacheField name="Years_of_Experience" numFmtId="0">
      <sharedItems containsSemiMixedTypes="0" containsString="0" containsNumber="1" containsInteger="1" minValue="4" maxValue="19"/>
    </cacheField>
    <cacheField name="Performance_Rating" numFmtId="0">
      <sharedItems containsSemiMixedTypes="0" containsString="0" containsNumber="1" minValue="3.7" maxValue="4.8"/>
    </cacheField>
    <cacheField name="Attendance_Percentage" numFmtId="0">
      <sharedItems containsSemiMixedTypes="0" containsString="0" containsNumber="1" minValue="92.7" maxValue="99.2"/>
    </cacheField>
    <cacheField name="Certifications" numFmtId="0">
      <sharedItems containsSemiMixedTypes="0" containsString="0" containsNumber="1" containsInteger="1" minValue="1" maxValue="5"/>
    </cacheField>
    <cacheField name="Promotion_Eligible" numFmtId="0">
      <sharedItems/>
    </cacheField>
    <cacheField name="Attrition_Risk" numFmtId="0">
      <sharedItems/>
    </cacheField>
    <cacheField name="Last_Promotion_Date" numFmtId="0">
      <sharedItems containsMixedTypes="1" containsNumber="1" containsInteger="1" minValue="43819" maxValue="45214"/>
    </cacheField>
    <cacheField name="Employee_Status" numFmtId="0">
      <sharedItems/>
    </cacheField>
    <cacheField name="First_Name" numFmtId="0">
      <sharedItems/>
    </cacheField>
    <cacheField name="Last_Name" numFmtId="0">
      <sharedItems/>
    </cacheField>
    <cacheField name="Full_Name" numFmtId="0">
      <sharedItems/>
    </cacheField>
    <cacheField name="ID_Card_Details" numFmtId="0">
      <sharedItems/>
    </cacheField>
    <cacheField name="Dept_Name" numFmtId="0">
      <sharedItems/>
    </cacheField>
    <cacheField name="Diwali_Month_Salary" numFmtId="0">
      <sharedItems containsSemiMixedTypes="0" containsString="0" containsNumber="1" containsInteger="1" minValue="560000" maxValue="1768700"/>
    </cacheField>
    <cacheField name="Salary_Seg" numFmtId="0">
      <sharedItems/>
    </cacheField>
    <cacheField name="Gender" numFmtId="0">
      <sharedItems/>
    </cacheField>
    <cacheField name="Education_Level" numFmtId="0">
      <sharedItems/>
    </cacheField>
    <cacheField name="Location" numFmtId="0">
      <sharedItems count="8">
        <s v="Chennaaaa"/>
        <s v="Noida"/>
        <s v="Bangalore"/>
        <s v="Pune"/>
        <s v="Chennai"/>
        <s v="Hyderabad"/>
        <s v="Delhi"/>
        <s v="Mumbai"/>
      </sharedItems>
    </cacheField>
    <cacheField name="Region" numFmtId="0">
      <sharedItems count="3">
        <s v="South"/>
        <s v="North"/>
        <s v="West"/>
      </sharedItems>
    </cacheField>
    <cacheField name="Advanced_Cert_Bon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u Sharma" refreshedDate="46228.765907175926" createdVersion="8" refreshedVersion="8" minRefreshableVersion="3" recordCount="100" xr:uid="{A508C7A0-4827-4B79-90A0-FCBDF0EF3BE8}">
  <cacheSource type="worksheet">
    <worksheetSource ref="A1:AF101" sheet="Class_3_File"/>
  </cacheSource>
  <cacheFields count="32">
    <cacheField name="Emp_ID" numFmtId="0">
      <sharedItems/>
    </cacheField>
    <cacheField name="Date_of_Birth" numFmtId="14">
      <sharedItems containsSemiMixedTypes="0" containsNonDate="0" containsDate="1" containsString="0" minDate="1984-01-03T00:00:00" maxDate="1995-11-21T00:00:00"/>
    </cacheField>
    <cacheField name="Age" numFmtId="0">
      <sharedItems containsString="0" containsBlank="1" containsNumber="1" containsInteger="1" minValue="29" maxValue="40"/>
    </cacheField>
    <cacheField name="Hire_Date" numFmtId="14">
      <sharedItems containsSemiMixedTypes="0" containsNonDate="0" containsDate="1" containsString="0" minDate="2014-12-10T00:00:00" maxDate="2023-02-23T00:00:00"/>
    </cacheField>
    <cacheField name="Hiring Source" numFmtId="0">
      <sharedItems/>
    </cacheField>
    <cacheField name="Dept_ID" numFmtId="0">
      <sharedItems/>
    </cacheField>
    <cacheField name="Job_Title" numFmtId="0">
      <sharedItems count="100">
        <s v="VP Finance"/>
        <s v="IT Manager"/>
        <s v="VP Sales"/>
        <s v="Operations Manager"/>
        <s v="Plant Manager"/>
        <s v="Cloud Architect"/>
        <s v="Finance Manager"/>
        <s v="National Sales Manager"/>
        <s v="Controller"/>
        <s v="Solutions Architect"/>
        <s v="Regional Sales Manager"/>
        <s v="Enterprise Sales Manager"/>
        <s v="HR Manager"/>
        <s v="Machine Learning Engineer"/>
        <s v="Product Manager"/>
        <s v="Senior Developer"/>
        <s v="Production Manager"/>
        <s v="Financial Planning Manager"/>
        <s v="Technical Lead"/>
        <s v="Data Scientist"/>
        <s v="Channel Sales Manager"/>
        <s v="Sales Manager"/>
        <s v="Mergers &amp; Acquisitions Analyst"/>
        <s v="Process Manager"/>
        <s v="Direct Sales Manager"/>
        <s v="DevOps Engineer"/>
        <s v="Product Owner"/>
        <s v="Key Account Manager"/>
        <s v="Logistics Manager"/>
        <s v="Compliance Officer"/>
        <s v="Software Engineer"/>
        <s v="Distribution Manager"/>
        <s v="Quality Manager"/>
        <s v="Growth Marketing Manager"/>
        <s v="Talent Acquisition Manager"/>
        <s v="Scrum Master"/>
        <s v="Partner Manager"/>
        <s v="Territory Manager"/>
        <s v="Business Development Manager"/>
        <s v="Senior Accountant"/>
        <s v="Database Administrator"/>
        <s v="Warehouse Manager"/>
        <s v="Diversity &amp; Inclusion Manager"/>
        <s v="Sales Trainer"/>
        <s v="Communications Manager"/>
        <s v="Safety Manager"/>
        <s v="Network Engineer"/>
        <s v="Maintenance Manager"/>
        <s v="Investment Analyst"/>
        <s v="Customer Success Manager"/>
        <s v="System Administrator"/>
        <s v="Customer Service Manager"/>
        <s v="Brand Manager"/>
        <s v="Cybersecurity Analyst"/>
        <s v="Financial Analyst"/>
        <s v="Internal Auditor"/>
        <s v="Risk Analyst"/>
        <s v="Inventory Manager"/>
        <s v="Partnership Manager"/>
        <s v="Treasury Analyst"/>
        <s v="Tax Consultant"/>
        <s v="Credit Analyst"/>
        <s v="Business Analyst"/>
        <s v="Payroll Manager"/>
        <s v="Facilities Manager"/>
        <s v="Influencer Marketing Manager"/>
        <s v="Quality Assurance Manager"/>
        <s v="Data Analyst"/>
        <s v="Budget Analyst"/>
        <s v="Organizational Development Specialist"/>
        <s v="HRIS Specialist"/>
        <s v="Supply Chain Analyst"/>
        <s v="Mobile App Developer"/>
        <s v="Accountant"/>
        <s v="Procurement Specialist"/>
        <s v="Affiliate Marketing Manager"/>
        <s v="Marketing Executive"/>
        <s v="Learning &amp; Development Specialist"/>
        <s v="Sales Executive"/>
        <s v="Compensation Analyst"/>
        <s v="Frontend Developer"/>
        <s v="Benefits Administrator"/>
        <s v="QA Engineer"/>
        <s v="Sales Coordinator"/>
        <s v="Training Coordinator"/>
        <s v="Market Research Analyst"/>
        <s v="Digital Marketing Specialist"/>
        <s v="SEO Specialist"/>
        <s v="Employee Relations Specialist"/>
        <s v="Graphic Designer"/>
        <s v="Social Media Manager"/>
        <s v="UI/UX Designer"/>
        <s v="Event Manager"/>
        <s v="Junior Developer"/>
        <s v="Inside Sales Representative"/>
        <s v="Technical Writer"/>
        <s v="Recruiter"/>
        <s v="Email Marketing Specialist"/>
        <s v="HR Coordinator"/>
        <s v="Content Writer"/>
      </sharedItems>
    </cacheField>
    <cacheField name="Employment_Type" numFmtId="0">
      <sharedItems/>
    </cacheField>
    <cacheField name="Manager_ID" numFmtId="0">
      <sharedItems/>
    </cacheField>
    <cacheField name="Base_Salary" numFmtId="0">
      <sharedItems containsSemiMixedTypes="0" containsString="0" containsNumber="1" containsInteger="1" minValue="450000" maxValue="1450000"/>
    </cacheField>
    <cacheField name="Bonus" numFmtId="0">
      <sharedItems containsSemiMixedTypes="0" containsString="0" containsNumber="1" containsInteger="1" minValue="32000" maxValue="165000"/>
    </cacheField>
    <cacheField name="Total_Salary" numFmtId="0">
      <sharedItems containsSemiMixedTypes="0" containsString="0" containsNumber="1" containsInteger="1" minValue="482000" maxValue="1615000"/>
    </cacheField>
    <cacheField name="Years_of_Experience" numFmtId="0">
      <sharedItems containsSemiMixedTypes="0" containsString="0" containsNumber="1" containsInteger="1" minValue="4" maxValue="19"/>
    </cacheField>
    <cacheField name="Performance_Rating" numFmtId="0">
      <sharedItems containsSemiMixedTypes="0" containsString="0" containsNumber="1" minValue="3.6" maxValue="4.8"/>
    </cacheField>
    <cacheField name="Attendance_Percentage" numFmtId="0">
      <sharedItems containsSemiMixedTypes="0" containsString="0" containsNumber="1" minValue="91.2" maxValue="99.2"/>
    </cacheField>
    <cacheField name="Certifications" numFmtId="0">
      <sharedItems containsSemiMixedTypes="0" containsString="0" containsNumber="1" containsInteger="1" minValue="1" maxValue="5"/>
    </cacheField>
    <cacheField name="Promotion_Eligible" numFmtId="0">
      <sharedItems/>
    </cacheField>
    <cacheField name="Attrition_Risk" numFmtId="0">
      <sharedItems/>
    </cacheField>
    <cacheField name="Last_Promotion_Date" numFmtId="0">
      <sharedItems containsMixedTypes="1" containsNumber="1" containsInteger="1" minValue="43819" maxValue="45214"/>
    </cacheField>
    <cacheField name="Employee_Status" numFmtId="0">
      <sharedItems/>
    </cacheField>
    <cacheField name="First_Name" numFmtId="0">
      <sharedItems/>
    </cacheField>
    <cacheField name="Last_Name" numFmtId="0">
      <sharedItems/>
    </cacheField>
    <cacheField name="Full_Name" numFmtId="0">
      <sharedItems/>
    </cacheField>
    <cacheField name="ID_Card_Details" numFmtId="0">
      <sharedItems/>
    </cacheField>
    <cacheField name="Dept_Name" numFmtId="0">
      <sharedItems count="6">
        <s v="Finance"/>
        <s v="IT"/>
        <s v="Sales"/>
        <s v="Marketing"/>
        <s v="HR"/>
        <s v="Admin"/>
      </sharedItems>
    </cacheField>
    <cacheField name="Diwali_Month_Salary" numFmtId="0">
      <sharedItems containsSemiMixedTypes="0" containsString="0" containsNumber="1" containsInteger="1" minValue="482000" maxValue="1768700"/>
    </cacheField>
    <cacheField name="Salary_Seg" numFmtId="0">
      <sharedItems/>
    </cacheField>
    <cacheField name="Gender" numFmtId="0">
      <sharedItems/>
    </cacheField>
    <cacheField name="Education_Level" numFmtId="0">
      <sharedItems/>
    </cacheField>
    <cacheField name="Location" numFmtId="0">
      <sharedItems/>
    </cacheField>
    <cacheField name="Region" numFmtId="0">
      <sharedItems/>
    </cacheField>
    <cacheField name="Advanced_Cert_Bon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u Sharma" refreshedDate="46228.818526620373" createdVersion="8" refreshedVersion="8" minRefreshableVersion="3" recordCount="100" xr:uid="{745BD078-94BB-4FCE-B59D-30A8CC2F486A}">
  <cacheSource type="worksheet">
    <worksheetSource name="Emp_Data"/>
  </cacheSource>
  <cacheFields count="36">
    <cacheField name="Emp_ID" numFmtId="0">
      <sharedItems/>
    </cacheField>
    <cacheField name="Date_of_Birth" numFmtId="14">
      <sharedItems containsSemiMixedTypes="0" containsNonDate="0" containsDate="1" containsString="0" minDate="1984-01-03T00:00:00" maxDate="1995-11-21T00:00:00"/>
    </cacheField>
    <cacheField name="Age" numFmtId="0">
      <sharedItems containsString="0" containsBlank="1" containsNumber="1" containsInteger="1" minValue="29" maxValue="40" count="13">
        <n v="39"/>
        <m/>
        <n v="37"/>
        <n v="34"/>
        <n v="38"/>
        <n v="35"/>
        <n v="36"/>
        <n v="31"/>
        <n v="33"/>
        <n v="40"/>
        <n v="30"/>
        <n v="32"/>
        <n v="29"/>
      </sharedItems>
      <fieldGroup base="2">
        <rangePr startNum="29" endNum="40" groupInterval="4"/>
        <groupItems count="5">
          <s v="(blank)"/>
          <s v="29-32"/>
          <s v="33-36"/>
          <s v="37-40"/>
          <s v="&gt;41"/>
        </groupItems>
      </fieldGroup>
    </cacheField>
    <cacheField name="Hire_Date" numFmtId="14">
      <sharedItems containsSemiMixedTypes="0" containsNonDate="0" containsDate="1" containsString="0" minDate="2014-12-10T00:00:00" maxDate="2023-02-23T00:00:00" count="100">
        <d v="2014-12-10T00:00:00"/>
        <d v="2015-03-07T00:00:00"/>
        <d v="2015-05-13T00:00:00"/>
        <d v="2016-07-08T00:00:00"/>
        <d v="2015-04-21T00:00:00"/>
        <d v="2018-11-15T00:00:00"/>
        <d v="2015-02-05T00:00:00"/>
        <d v="2018-08-17T00:00:00"/>
        <d v="2016-01-14T00:00:00"/>
        <d v="2017-11-14T00:00:00"/>
        <d v="2019-03-20T00:00:00"/>
        <d v="2017-08-07T00:00:00"/>
        <d v="2019-06-15T00:00:00"/>
        <d v="2021-09-23T00:00:00"/>
        <d v="2020-01-21T00:00:00"/>
        <d v="2014-12-15T00:00:00"/>
        <d v="2015-10-23T00:00:00"/>
        <d v="2016-06-10T00:00:00"/>
        <d v="2019-10-20T00:00:00"/>
        <d v="2022-10-28T00:00:00"/>
        <d v="2016-09-09T00:00:00"/>
        <d v="2018-11-30T00:00:00"/>
        <d v="2017-11-09T00:00:00"/>
        <d v="2017-06-17T00:00:00"/>
        <d v="2017-12-15T00:00:00"/>
        <d v="2015-12-04T00:00:00"/>
        <d v="2019-11-26T00:00:00"/>
        <d v="2016-11-06T00:00:00"/>
        <d v="2016-10-12T00:00:00"/>
        <d v="2016-05-25T00:00:00"/>
        <d v="2018-04-01T00:00:00"/>
        <d v="2016-04-04T00:00:00"/>
        <d v="2018-05-13T00:00:00"/>
        <d v="2019-03-14T00:00:00"/>
        <d v="2019-06-20T00:00:00"/>
        <d v="2019-10-18T00:00:00"/>
        <d v="2019-01-11T00:00:00"/>
        <d v="2016-02-08T00:00:00"/>
        <d v="2018-07-25T00:00:00"/>
        <d v="2015-09-30T00:00:00"/>
        <d v="2016-11-12T00:00:00"/>
        <d v="2016-08-11T00:00:00"/>
        <d v="2021-03-12T00:00:00"/>
        <d v="2016-03-05T00:00:00"/>
        <d v="2020-04-11T00:00:00"/>
        <d v="2016-07-22T00:00:00"/>
        <d v="2016-06-16T00:00:00"/>
        <d v="2016-09-19T00:00:00"/>
        <d v="2017-07-26T00:00:00"/>
        <d v="2019-02-16T00:00:00"/>
        <d v="2015-01-09T00:00:00"/>
        <d v="2019-09-27T00:00:00"/>
        <d v="2020-12-05T00:00:00"/>
        <d v="2021-05-22T00:00:00"/>
        <d v="2017-01-20T00:00:00"/>
        <d v="2017-07-08T00:00:00"/>
        <d v="2018-05-15T00:00:00"/>
        <d v="2018-09-13T00:00:00"/>
        <d v="2020-08-19T00:00:00"/>
        <d v="2017-08-17T00:00:00"/>
        <d v="2017-09-03T00:00:00"/>
        <d v="2018-04-26T00:00:00"/>
        <d v="2020-04-19T00:00:00"/>
        <d v="2020-11-29T00:00:00"/>
        <d v="2019-03-18T00:00:00"/>
        <d v="2021-06-20T00:00:00"/>
        <d v="2022-11-27T00:00:00"/>
        <d v="2019-09-22T00:00:00"/>
        <d v="2019-10-23T00:00:00"/>
        <d v="2021-07-16T00:00:00"/>
        <d v="2019-10-24T00:00:00"/>
        <d v="2019-04-10T00:00:00"/>
        <d v="2022-08-23T00:00:00"/>
        <d v="2018-05-28T00:00:00"/>
        <d v="2021-03-10T00:00:00"/>
        <d v="2022-04-15T00:00:00"/>
        <d v="2020-03-12T00:00:00"/>
        <d v="2021-12-14T00:00:00"/>
        <d v="2019-11-19T00:00:00"/>
        <d v="2021-07-14T00:00:00"/>
        <d v="2023-01-24T00:00:00"/>
        <d v="2022-01-24T00:00:00"/>
        <d v="2022-09-16T00:00:00"/>
        <d v="2020-07-28T00:00:00"/>
        <d v="2020-06-18T00:00:00"/>
        <d v="2022-06-29T00:00:00"/>
        <d v="2022-08-20T00:00:00"/>
        <d v="2022-09-25T00:00:00"/>
        <d v="2022-08-27T00:00:00"/>
        <d v="2022-07-21T00:00:00"/>
        <d v="2023-02-12T00:00:00"/>
        <d v="2023-01-13T00:00:00"/>
        <d v="2020-05-19T00:00:00"/>
        <d v="2023-01-14T00:00:00"/>
        <d v="2021-09-18T00:00:00"/>
        <d v="2023-02-19T00:00:00"/>
        <d v="2021-05-17T00:00:00"/>
        <d v="2020-12-16T00:00:00"/>
        <d v="2023-02-22T00:00:00"/>
        <d v="2021-02-22T00:00:00"/>
      </sharedItems>
      <fieldGroup par="34"/>
    </cacheField>
    <cacheField name="Hiring Source" numFmtId="0">
      <sharedItems count="5">
        <s v="Referral"/>
        <s v="Job Portal"/>
        <s v="Campus"/>
        <s v="LinkedIn"/>
        <s v="Freelance"/>
      </sharedItems>
    </cacheField>
    <cacheField name="Dept_ID" numFmtId="0">
      <sharedItems/>
    </cacheField>
    <cacheField name="Job_Title" numFmtId="0">
      <sharedItems count="100">
        <s v="VP Finance"/>
        <s v="IT Manager"/>
        <s v="VP Sales"/>
        <s v="Operations Manager"/>
        <s v="Plant Manager"/>
        <s v="Cloud Architect"/>
        <s v="Finance Manager"/>
        <s v="National Sales Manager"/>
        <s v="Controller"/>
        <s v="Solutions Architect"/>
        <s v="Regional Sales Manager"/>
        <s v="Enterprise Sales Manager"/>
        <s v="HR Manager"/>
        <s v="Machine Learning Engineer"/>
        <s v="Product Manager"/>
        <s v="Senior Developer"/>
        <s v="Production Manager"/>
        <s v="Financial Planning Manager"/>
        <s v="Technical Lead"/>
        <s v="Data Scientist"/>
        <s v="Channel Sales Manager"/>
        <s v="Sales Manager"/>
        <s v="Mergers &amp; Acquisitions Analyst"/>
        <s v="Process Manager"/>
        <s v="Direct Sales Manager"/>
        <s v="DevOps Engineer"/>
        <s v="Product Owner"/>
        <s v="Key Account Manager"/>
        <s v="Logistics Manager"/>
        <s v="Compliance Officer"/>
        <s v="Software Engineer"/>
        <s v="Distribution Manager"/>
        <s v="Quality Manager"/>
        <s v="Growth Marketing Manager"/>
        <s v="Talent Acquisition Manager"/>
        <s v="Scrum Master"/>
        <s v="Partner Manager"/>
        <s v="Territory Manager"/>
        <s v="Business Development Manager"/>
        <s v="Senior Accountant"/>
        <s v="Database Administrator"/>
        <s v="Warehouse Manager"/>
        <s v="Diversity &amp; Inclusion Manager"/>
        <s v="Sales Trainer"/>
        <s v="Communications Manager"/>
        <s v="Safety Manager"/>
        <s v="Network Engineer"/>
        <s v="Maintenance Manager"/>
        <s v="Investment Analyst"/>
        <s v="Customer Success Manager"/>
        <s v="System Administrator"/>
        <s v="Customer Service Manager"/>
        <s v="Brand Manager"/>
        <s v="Cybersecurity Analyst"/>
        <s v="Financial Analyst"/>
        <s v="Internal Auditor"/>
        <s v="Risk Analyst"/>
        <s v="Inventory Manager"/>
        <s v="Partnership Manager"/>
        <s v="Treasury Analyst"/>
        <s v="Tax Consultant"/>
        <s v="Credit Analyst"/>
        <s v="Business Analyst"/>
        <s v="Payroll Manager"/>
        <s v="Facilities Manager"/>
        <s v="Influencer Marketing Manager"/>
        <s v="Quality Assurance Manager"/>
        <s v="Data Analyst"/>
        <s v="Budget Analyst"/>
        <s v="Organizational Development Specialist"/>
        <s v="HRIS Specialist"/>
        <s v="Supply Chain Analyst"/>
        <s v="Mobile App Developer"/>
        <s v="Accountant"/>
        <s v="Procurement Specialist"/>
        <s v="Affiliate Marketing Manager"/>
        <s v="Marketing Executive"/>
        <s v="Learning &amp; Development Specialist"/>
        <s v="Sales Executive"/>
        <s v="Compensation Analyst"/>
        <s v="Frontend Developer"/>
        <s v="Benefits Administrator"/>
        <s v="QA Engineer"/>
        <s v="Sales Coordinator"/>
        <s v="Training Coordinator"/>
        <s v="Market Research Analyst"/>
        <s v="Digital Marketing Specialist"/>
        <s v="SEO Specialist"/>
        <s v="Employee Relations Specialist"/>
        <s v="Graphic Designer"/>
        <s v="Social Media Manager"/>
        <s v="UI/UX Designer"/>
        <s v="Event Manager"/>
        <s v="Junior Developer"/>
        <s v="Inside Sales Representative"/>
        <s v="Technical Writer"/>
        <s v="Recruiter"/>
        <s v="Email Marketing Specialist"/>
        <s v="HR Coordinator"/>
        <s v="Content Writer"/>
      </sharedItems>
      <fieldGroup par="35"/>
    </cacheField>
    <cacheField name="Employment_Type" numFmtId="0">
      <sharedItems/>
    </cacheField>
    <cacheField name="Manager_ID" numFmtId="0">
      <sharedItems/>
    </cacheField>
    <cacheField name="Base_Salary" numFmtId="0">
      <sharedItems containsSemiMixedTypes="0" containsString="0" containsNumber="1" containsInteger="1" minValue="450000" maxValue="1450000"/>
    </cacheField>
    <cacheField name="Bonus" numFmtId="0">
      <sharedItems containsSemiMixedTypes="0" containsString="0" containsNumber="1" containsInteger="1" minValue="32000" maxValue="165000"/>
    </cacheField>
    <cacheField name="Total_Salary" numFmtId="0">
      <sharedItems containsSemiMixedTypes="0" containsString="0" containsNumber="1" containsInteger="1" minValue="482000" maxValue="1615000"/>
    </cacheField>
    <cacheField name="Years_of_Experience" numFmtId="0">
      <sharedItems containsSemiMixedTypes="0" containsString="0" containsNumber="1" containsInteger="1" minValue="4" maxValue="19"/>
    </cacheField>
    <cacheField name="Performance_Rating" numFmtId="0">
      <sharedItems containsSemiMixedTypes="0" containsString="0" containsNumber="1" minValue="3.6" maxValue="4.8"/>
    </cacheField>
    <cacheField name="Attendance_Percentage" numFmtId="0">
      <sharedItems containsSemiMixedTypes="0" containsString="0" containsNumber="1" minValue="91.2" maxValue="99.2"/>
    </cacheField>
    <cacheField name="Certifications" numFmtId="0">
      <sharedItems containsSemiMixedTypes="0" containsString="0" containsNumber="1" containsInteger="1" minValue="1" maxValue="5"/>
    </cacheField>
    <cacheField name="Promotion_Eligible" numFmtId="0">
      <sharedItems count="2">
        <s v="No"/>
        <s v="Yes"/>
      </sharedItems>
    </cacheField>
    <cacheField name="Attrition_Risk" numFmtId="0">
      <sharedItems/>
    </cacheField>
    <cacheField name="Last_Promotion_Date" numFmtId="0">
      <sharedItems containsMixedTypes="1" containsNumber="1" containsInteger="1" minValue="43819" maxValue="45214"/>
    </cacheField>
    <cacheField name="Employee_Status" numFmtId="0">
      <sharedItems/>
    </cacheField>
    <cacheField name="First_Name" numFmtId="0">
      <sharedItems/>
    </cacheField>
    <cacheField name="Last_Name" numFmtId="0">
      <sharedItems/>
    </cacheField>
    <cacheField name="Full_Name" numFmtId="0">
      <sharedItems/>
    </cacheField>
    <cacheField name="ID_Card_Details" numFmtId="0">
      <sharedItems/>
    </cacheField>
    <cacheField name="Dept_Name" numFmtId="0">
      <sharedItems count="6">
        <s v="Finance"/>
        <s v="IT"/>
        <s v="Sales"/>
        <s v="Marketing"/>
        <s v="HR"/>
        <s v="Admin"/>
      </sharedItems>
    </cacheField>
    <cacheField name="Diwali_Month_Salary" numFmtId="0">
      <sharedItems containsSemiMixedTypes="0" containsString="0" containsNumber="1" containsInteger="1" minValue="482000" maxValue="1768700"/>
    </cacheField>
    <cacheField name="Salary_Seg" numFmtId="0">
      <sharedItems/>
    </cacheField>
    <cacheField name="Gender" numFmtId="0">
      <sharedItems count="3">
        <s v="Male"/>
        <s v="Female"/>
        <s v="F" u="1"/>
      </sharedItems>
    </cacheField>
    <cacheField name="Education_Level" numFmtId="0">
      <sharedItems/>
    </cacheField>
    <cacheField name="Location" numFmtId="0">
      <sharedItems count="8">
        <s v="Chennai"/>
        <s v="Noida"/>
        <s v="Bangalore"/>
        <s v="Pune"/>
        <s v="Hyderabad"/>
        <s v="Delhi"/>
        <s v="Mumbai"/>
        <s v="Chennaaaa" u="1"/>
      </sharedItems>
    </cacheField>
    <cacheField name="Region" numFmtId="0">
      <sharedItems count="3">
        <s v="South"/>
        <s v="North"/>
        <s v="West"/>
      </sharedItems>
    </cacheField>
    <cacheField name="Advanced_Cert_Bonus" numFmtId="0">
      <sharedItems/>
    </cacheField>
    <cacheField name="Months (Hire_Date)" numFmtId="0" databaseField="0">
      <fieldGroup base="3">
        <rangePr groupBy="months" startDate="2014-12-10T00:00:00" endDate="2023-02-23T00:00:00"/>
        <groupItems count="14">
          <s v="&lt;10-12-2014"/>
          <s v="Jan"/>
          <s v="Feb"/>
          <s v="Mar"/>
          <s v="Apr"/>
          <s v="May"/>
          <s v="Jun"/>
          <s v="Jul"/>
          <s v="Aug"/>
          <s v="Sep"/>
          <s v="Oct"/>
          <s v="Nov"/>
          <s v="Dec"/>
          <s v="&gt;23-02-2023"/>
        </groupItems>
      </fieldGroup>
    </cacheField>
    <cacheField name="Quarters (Hire_Date)" numFmtId="0" databaseField="0">
      <fieldGroup base="3">
        <rangePr groupBy="quarters" startDate="2014-12-10T00:00:00" endDate="2023-02-23T00:00:00"/>
        <groupItems count="6">
          <s v="&lt;10-12-2014"/>
          <s v="Qtr1"/>
          <s v="Qtr2"/>
          <s v="Qtr3"/>
          <s v="Qtr4"/>
          <s v="&gt;23-02-2023"/>
        </groupItems>
      </fieldGroup>
    </cacheField>
    <cacheField name="Years (Hire_Date)" numFmtId="0" databaseField="0">
      <fieldGroup base="3">
        <rangePr groupBy="years" startDate="2014-12-10T00:00:00" endDate="2023-02-23T00:00:00"/>
        <groupItems count="12">
          <s v="&lt;10-12-2014"/>
          <s v="2014"/>
          <s v="2015"/>
          <s v="2016"/>
          <s v="2017"/>
          <s v="2018"/>
          <s v="2019"/>
          <s v="2020"/>
          <s v="2021"/>
          <s v="2022"/>
          <s v="2023"/>
          <s v="&gt;23-02-2023"/>
        </groupItems>
      </fieldGroup>
    </cacheField>
    <cacheField name="Job_Title2" numFmtId="0" databaseField="0">
      <fieldGroup base="6">
        <discretePr count="100">
          <x v="1"/>
          <x v="0"/>
          <x v="1"/>
          <x v="0"/>
          <x v="0"/>
          <x v="1"/>
          <x v="0"/>
          <x v="0"/>
          <x v="1"/>
          <x v="1"/>
          <x v="0"/>
          <x v="0"/>
          <x v="0"/>
          <x v="1"/>
          <x v="0"/>
          <x v="1"/>
          <x v="0"/>
          <x v="0"/>
          <x v="1"/>
          <x v="1"/>
          <x v="0"/>
          <x v="0"/>
          <x v="1"/>
          <x v="0"/>
          <x v="0"/>
          <x v="1"/>
          <x v="1"/>
          <x v="0"/>
          <x v="0"/>
          <x v="1"/>
          <x v="1"/>
          <x v="0"/>
          <x v="0"/>
          <x v="0"/>
          <x v="0"/>
          <x v="1"/>
          <x v="0"/>
          <x v="0"/>
          <x v="0"/>
          <x v="1"/>
          <x v="1"/>
          <x v="0"/>
          <x v="0"/>
          <x v="1"/>
          <x v="0"/>
          <x v="0"/>
          <x v="1"/>
          <x v="0"/>
          <x v="1"/>
          <x v="0"/>
          <x v="1"/>
          <x v="0"/>
          <x v="0"/>
          <x v="1"/>
          <x v="1"/>
          <x v="1"/>
          <x v="1"/>
          <x v="0"/>
          <x v="0"/>
          <x v="1"/>
          <x v="1"/>
          <x v="1"/>
          <x v="1"/>
          <x v="0"/>
          <x v="0"/>
          <x v="0"/>
          <x v="0"/>
          <x v="1"/>
          <x v="1"/>
          <x v="1"/>
          <x v="1"/>
          <x v="1"/>
          <x v="1"/>
          <x v="1"/>
          <x v="1"/>
          <x v="0"/>
          <x v="1"/>
          <x v="1"/>
          <x v="1"/>
          <x v="1"/>
          <x v="1"/>
          <x v="1"/>
          <x v="1"/>
          <x v="1"/>
          <x v="1"/>
          <x v="1"/>
          <x v="1"/>
          <x v="1"/>
          <x v="1"/>
          <x v="1"/>
          <x v="0"/>
          <x v="1"/>
          <x v="0"/>
          <x v="1"/>
          <x v="1"/>
          <x v="1"/>
          <x v="1"/>
          <x v="1"/>
          <x v="1"/>
          <x v="1"/>
        </discretePr>
        <groupItems count="2">
          <s v="Group1"/>
          <s v="Group2"/>
        </groupItems>
      </fieldGroup>
    </cacheField>
  </cacheFields>
  <extLst>
    <ext xmlns:x14="http://schemas.microsoft.com/office/spreadsheetml/2009/9/main" uri="{725AE2AE-9491-48be-B2B4-4EB974FC3084}">
      <x14:pivotCacheDefinition pivotCacheId="988552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EMP075"/>
    <d v="1985-10-19T00:00:00"/>
    <n v="39"/>
    <d v="2014-12-10T00:00:00"/>
    <s v="Referral"/>
    <s v="D_006"/>
    <s v="VP Finance"/>
    <s v="Full-Time"/>
    <s v="MGR103"/>
    <n v="1450000"/>
    <n v="165000"/>
    <n v="1615000"/>
    <n v="19"/>
    <n v="4.8"/>
    <n v="99.1"/>
    <n v="4"/>
    <s v="No"/>
    <s v="Low"/>
    <n v="43819"/>
    <s v="Active"/>
    <s v="vinay"/>
    <s v="reddy"/>
    <s v="Vinay Reddy"/>
    <s v="VR075"/>
    <s v="Finance"/>
    <n v="1615000"/>
    <s v="High"/>
    <s v="Male"/>
    <s v="Bachelor"/>
    <x v="0"/>
    <x v="0"/>
    <s v="Eligible"/>
  </r>
  <r>
    <s v="EMP019"/>
    <d v="1985-09-11T00:00:00"/>
    <n v="39"/>
    <d v="2015-03-07T00:00:00"/>
    <s v="Job Portal"/>
    <s v="D_001"/>
    <s v="IT Manager"/>
    <s v="Full-Time"/>
    <s v="MGR101"/>
    <n v="1450000"/>
    <n v="165000"/>
    <n v="1615000"/>
    <n v="17"/>
    <n v="4.8"/>
    <n v="99.2"/>
    <n v="5"/>
    <s v="No"/>
    <s v="Low"/>
    <n v="43905"/>
    <s v="Active"/>
    <s v="anil"/>
    <s v="chopra"/>
    <s v="Anil Chopra"/>
    <s v="AC019"/>
    <s v="IT"/>
    <n v="1615000"/>
    <s v="High"/>
    <s v="Male"/>
    <s v="Master"/>
    <x v="1"/>
    <x v="1"/>
    <s v="Eligible"/>
  </r>
  <r>
    <s v="EMP097"/>
    <d v="1986-02-19T00:00:00"/>
    <m/>
    <d v="2015-05-13T00:00:00"/>
    <s v="Referral"/>
    <s v="D_003"/>
    <s v="VP Sales"/>
    <s v="Full-Time"/>
    <s v="MGR106"/>
    <n v="1380000"/>
    <n v="158000"/>
    <n v="1538000"/>
    <n v="18"/>
    <n v="4.8"/>
    <n v="99"/>
    <n v="4"/>
    <s v="No"/>
    <s v="Low"/>
    <n v="43971"/>
    <s v="Active"/>
    <s v="rohit"/>
    <s v="agarwal"/>
    <s v="Rohit Agarwal"/>
    <s v="RA097"/>
    <s v="Sales"/>
    <n v="1768700"/>
    <s v="High"/>
    <s v="Male"/>
    <s v="Master"/>
    <x v="2"/>
    <x v="0"/>
    <s v="Eligible"/>
  </r>
  <r>
    <s v="EMP005"/>
    <d v="1987-12-18T00:00:00"/>
    <n v="37"/>
    <d v="2016-07-08T00:00:00"/>
    <s v="Campus"/>
    <s v="D_005"/>
    <s v="Operations Manager"/>
    <s v="Full-Time"/>
    <s v="MGR105"/>
    <n v="1100000"/>
    <n v="120000"/>
    <n v="1220000"/>
    <n v="15"/>
    <n v="4.7"/>
    <n v="99"/>
    <n v="4"/>
    <s v="No"/>
    <s v="Low"/>
    <n v="44397"/>
    <s v="Active"/>
    <s v="vikram"/>
    <s v="singh"/>
    <s v="Vikram Singh"/>
    <s v="VS005"/>
    <s v="Marketing"/>
    <n v="1220000"/>
    <s v="High"/>
    <s v="Male"/>
    <s v="Bachelor"/>
    <x v="3"/>
    <x v="2"/>
    <s v="Eligible"/>
  </r>
  <r>
    <s v="EMP047"/>
    <d v="1985-11-04T00:00:00"/>
    <n v="39"/>
    <d v="2015-04-21T00:00:00"/>
    <s v="LinkedIn"/>
    <s v="D_005"/>
    <s v="Plant Manager"/>
    <s v="Full-Time"/>
    <s v="MGR105"/>
    <n v="1080000"/>
    <n v="115000"/>
    <n v="1195000"/>
    <n v="18"/>
    <n v="4.5999999999999996"/>
    <n v="98.6"/>
    <n v="4"/>
    <s v="No"/>
    <s v="Low"/>
    <n v="43931"/>
    <s v="Active"/>
    <s v="rajeev"/>
    <s v="bose"/>
    <s v="Rajeev Bose"/>
    <s v="RB047"/>
    <s v="Marketing"/>
    <n v="1195000"/>
    <s v="High"/>
    <s v="Male"/>
    <s v="Bachelor"/>
    <x v="3"/>
    <x v="2"/>
    <s v="Eligible"/>
  </r>
  <r>
    <s v="EMP041"/>
    <d v="1990-05-22T00:00:00"/>
    <n v="34"/>
    <d v="2018-11-15T00:00:00"/>
    <s v="Freelance"/>
    <s v="D_001"/>
    <s v="Cloud Architect"/>
    <s v="Full-Time"/>
    <s v="MGR101"/>
    <n v="1050000"/>
    <n v="110000"/>
    <n v="1160000"/>
    <n v="11"/>
    <n v="4.7"/>
    <n v="98.9"/>
    <n v="5"/>
    <s v="Yes"/>
    <s v="Low"/>
    <n v="44885"/>
    <s v="Active"/>
    <s v="varun"/>
    <s v="kapoor"/>
    <s v="Varun Kapoor"/>
    <s v="VK041"/>
    <s v="IT"/>
    <n v="1160000"/>
    <s v="High"/>
    <s v="Male"/>
    <s v="Bachelor"/>
    <x v="1"/>
    <x v="1"/>
    <s v="Eligible"/>
  </r>
  <r>
    <s v="EMP009"/>
    <d v="1986-08-30T00:00:00"/>
    <n v="38"/>
    <d v="2015-02-05T00:00:00"/>
    <s v="Referral"/>
    <s v="D_006"/>
    <s v="Finance Manager"/>
    <s v="Full-Time"/>
    <s v="MGR103"/>
    <n v="1050000"/>
    <n v="105000"/>
    <n v="1155000"/>
    <n v="16"/>
    <n v="4.5999999999999996"/>
    <n v="98.5"/>
    <n v="3"/>
    <s v="No"/>
    <s v="Low"/>
    <n v="43871"/>
    <s v="Active"/>
    <s v="suresh"/>
    <s v="nair"/>
    <s v="Suresh Nair"/>
    <s v="SN009"/>
    <s v="Finance"/>
    <n v="1155000"/>
    <s v="High"/>
    <s v="Male"/>
    <s v="Master"/>
    <x v="4"/>
    <x v="0"/>
    <s v="Eligible"/>
  </r>
  <r>
    <s v="EMP079"/>
    <d v="1989-01-08T00:00:00"/>
    <n v="35"/>
    <d v="2018-08-17T00:00:00"/>
    <s v="Job Portal"/>
    <s v="D_003"/>
    <s v="National Sales Manager"/>
    <s v="Full-Time"/>
    <s v="MGR106"/>
    <n v="1020000"/>
    <n v="125000"/>
    <n v="1145000"/>
    <n v="12"/>
    <n v="4.7"/>
    <n v="98.6"/>
    <n v="3"/>
    <s v="Yes"/>
    <s v="Low"/>
    <n v="45163"/>
    <s v="Active"/>
    <s v="nikhil"/>
    <s v="chopra"/>
    <s v="Nikhil Chopra"/>
    <s v="NC079"/>
    <s v="Sales"/>
    <n v="1316750"/>
    <s v="High"/>
    <s v="Male"/>
    <s v="Master"/>
    <x v="5"/>
    <x v="0"/>
    <s v="Eligible"/>
  </r>
  <r>
    <s v="EMP051"/>
    <d v="1986-05-05T00:00:00"/>
    <n v="38"/>
    <d v="2016-01-14T00:00:00"/>
    <s v="Freelance"/>
    <s v="D_006"/>
    <s v="Controller"/>
    <s v="Full-Time"/>
    <s v="MGR103"/>
    <n v="980000"/>
    <n v="98000"/>
    <n v="1078000"/>
    <n v="16"/>
    <n v="4.5"/>
    <n v="98.2"/>
    <n v="3"/>
    <s v="No"/>
    <s v="Low"/>
    <n v="44216"/>
    <s v="Active"/>
    <s v="ramesh"/>
    <s v="pillai"/>
    <s v="Ramesh Pillai"/>
    <s v="RP051"/>
    <s v="Finance"/>
    <n v="1078000"/>
    <s v="High"/>
    <s v="Male"/>
    <s v="Master"/>
    <x v="4"/>
    <x v="0"/>
    <s v="Eligible"/>
  </r>
  <r>
    <s v="EMP077"/>
    <d v="1988-05-13T00:00:00"/>
    <n v="36"/>
    <d v="2017-11-14T00:00:00"/>
    <s v="LinkedIn"/>
    <s v="D_001"/>
    <s v="Solutions Architect"/>
    <s v="Full-Time"/>
    <s v="MGR101"/>
    <n v="980000"/>
    <n v="98000"/>
    <n v="1078000"/>
    <n v="13"/>
    <n v="4.5999999999999996"/>
    <n v="98.4"/>
    <n v="4"/>
    <s v="Yes"/>
    <s v="Low"/>
    <n v="44885"/>
    <s v="Active"/>
    <s v="rajat"/>
    <s v="verma"/>
    <s v="Rajat Verma"/>
    <s v="RV077"/>
    <s v="IT"/>
    <n v="1078000"/>
    <s v="High"/>
    <s v="Male"/>
    <s v="Master"/>
    <x v="6"/>
    <x v="1"/>
    <s v="Eligible"/>
  </r>
  <r>
    <s v="EMP025"/>
    <d v="1990-11-29T00:00:00"/>
    <n v="34"/>
    <d v="2019-03-20T00:00:00"/>
    <s v="Job Portal"/>
    <s v="D_003"/>
    <s v="Regional Sales Manager"/>
    <s v="Full-Time"/>
    <s v="MGR106"/>
    <n v="950000"/>
    <n v="115000"/>
    <n v="1065000"/>
    <n v="10"/>
    <n v="4.5"/>
    <n v="97.8"/>
    <n v="2"/>
    <s v="Yes"/>
    <s v="Low"/>
    <n v="44995"/>
    <s v="Active"/>
    <s v="gaurav"/>
    <s v="pandey"/>
    <s v="Gaurav Pandey"/>
    <s v="GP025"/>
    <s v="Sales"/>
    <n v="1224750"/>
    <s v="High"/>
    <s v="Male"/>
    <s v="Master"/>
    <x v="5"/>
    <x v="0"/>
    <s v="Not Eligible"/>
  </r>
  <r>
    <s v="EMP061"/>
    <d v="1988-12-27T00:00:00"/>
    <n v="36"/>
    <d v="2017-08-07T00:00:00"/>
    <s v="Referral"/>
    <s v="D_003"/>
    <s v="Enterprise Sales Manager"/>
    <s v="Full-Time"/>
    <s v="MGR106"/>
    <n v="940000"/>
    <n v="112000"/>
    <n v="1052000"/>
    <n v="13"/>
    <n v="4.5"/>
    <n v="98.1"/>
    <n v="3"/>
    <s v="Yes"/>
    <s v="Low"/>
    <n v="44788"/>
    <s v="Active"/>
    <s v="siddharth"/>
    <s v="mehta"/>
    <s v="Siddharth Mehta"/>
    <s v="SM061"/>
    <s v="Sales"/>
    <n v="1209800"/>
    <s v="High"/>
    <s v="Male"/>
    <s v="Bachelor"/>
    <x v="6"/>
    <x v="1"/>
    <s v="Eligible"/>
  </r>
  <r>
    <s v="EMP002"/>
    <d v="1990-07-22T00:00:00"/>
    <n v="34"/>
    <d v="2019-06-15T00:00:00"/>
    <s v="LinkedIn"/>
    <s v="D_002"/>
    <s v="HR Manager"/>
    <s v="Full-Time"/>
    <s v="MGR102"/>
    <n v="950000"/>
    <n v="95000"/>
    <n v="1045000"/>
    <n v="10"/>
    <n v="4.3"/>
    <n v="98.2"/>
    <n v="2"/>
    <s v="Yes"/>
    <s v="Low"/>
    <n v="45087"/>
    <s v="Active"/>
    <s v="priya"/>
    <s v="sharma"/>
    <s v="Priya Sharma"/>
    <s v="PS002"/>
    <s v="HR"/>
    <n v="1045000"/>
    <s v="High"/>
    <s v="Female"/>
    <s v="Bachelor"/>
    <x v="6"/>
    <x v="1"/>
    <s v="Not Eligible"/>
  </r>
  <r>
    <s v="EMP092"/>
    <d v="1993-07-18T00:00:00"/>
    <n v="31"/>
    <d v="2021-09-23T00:00:00"/>
    <s v="Job Portal"/>
    <s v="D_001"/>
    <s v="Machine Learning Engineer"/>
    <s v="Full-Time"/>
    <s v="MGR101"/>
    <n v="950000"/>
    <n v="95000"/>
    <n v="1045000"/>
    <n v="6"/>
    <n v="4.5999999999999996"/>
    <n v="98.3"/>
    <n v="4"/>
    <s v="Yes"/>
    <s v="Low"/>
    <s v="NA"/>
    <s v="Active"/>
    <s v="kavita"/>
    <s v="pillai"/>
    <s v="Kavita Pillai"/>
    <s v="KP092"/>
    <s v="IT"/>
    <n v="1045000"/>
    <s v="High"/>
    <s v="Female"/>
    <s v="Bachelor"/>
    <x v="2"/>
    <x v="0"/>
    <s v="Not Eligible"/>
  </r>
  <r>
    <s v="EMP036"/>
    <d v="1991-09-09T00:00:00"/>
    <n v="33"/>
    <d v="2020-01-21T00:00:00"/>
    <s v="Referral"/>
    <s v="D_004"/>
    <s v="Product Manager"/>
    <s v="Full-Time"/>
    <s v="MGR104"/>
    <n v="920000"/>
    <n v="95000"/>
    <n v="1015000"/>
    <n v="9"/>
    <n v="4.5999999999999996"/>
    <n v="98.7"/>
    <n v="3"/>
    <s v="Yes"/>
    <s v="Low"/>
    <s v="NA"/>
    <s v="Active"/>
    <s v="pallavi"/>
    <s v="nambiar"/>
    <s v="Pallavi Nambiar"/>
    <s v="PN036"/>
    <s v="Admin"/>
    <n v="1015000"/>
    <s v="High"/>
    <s v="Female"/>
    <s v="Bachelor"/>
    <x v="3"/>
    <x v="2"/>
    <s v="Eligible"/>
  </r>
  <r>
    <s v="EMP011"/>
    <d v="1984-01-03T00:00:00"/>
    <n v="40"/>
    <d v="2014-12-15T00:00:00"/>
    <s v="Freelance"/>
    <s v="D_001"/>
    <s v="Senior Developer"/>
    <s v="Full-Time"/>
    <s v="MGR101"/>
    <n v="920000"/>
    <n v="92000"/>
    <n v="1012000"/>
    <n v="18"/>
    <n v="4.4000000000000004"/>
    <n v="97.3"/>
    <n v="4"/>
    <s v="No"/>
    <s v="Low"/>
    <n v="43819"/>
    <s v="Active"/>
    <s v="manoj"/>
    <s v="gupta"/>
    <s v="Manoj Gupta"/>
    <s v="MG011"/>
    <s v="IT"/>
    <n v="1012000"/>
    <s v="High"/>
    <s v="Male"/>
    <s v="Bachelor"/>
    <x v="1"/>
    <x v="1"/>
    <s v="Eligible"/>
  </r>
  <r>
    <s v="EMP059"/>
    <d v="1986-03-08T00:00:00"/>
    <n v="38"/>
    <d v="2015-10-23T00:00:00"/>
    <s v="Job Portal"/>
    <s v="D_005"/>
    <s v="Production Manager"/>
    <s v="Full-Time"/>
    <s v="MGR105"/>
    <n v="920000"/>
    <n v="92000"/>
    <n v="1012000"/>
    <n v="17"/>
    <n v="4.4000000000000004"/>
    <n v="97.9"/>
    <n v="3"/>
    <s v="No"/>
    <s v="Low"/>
    <n v="44119"/>
    <s v="Active"/>
    <s v="alok"/>
    <s v="sinha"/>
    <s v="Alok Sinha"/>
    <s v="AS059"/>
    <s v="Marketing"/>
    <n v="1012000"/>
    <s v="High"/>
    <s v="Male"/>
    <s v="Master"/>
    <x v="4"/>
    <x v="0"/>
    <s v="Eligible"/>
  </r>
  <r>
    <s v="EMP093"/>
    <d v="1987-10-30T00:00:00"/>
    <n v="37"/>
    <d v="2016-06-10T00:00:00"/>
    <s v="Freelance"/>
    <s v="D_006"/>
    <s v="Financial Planning Manager"/>
    <s v="Full-Time"/>
    <s v="MGR103"/>
    <n v="920000"/>
    <n v="92000"/>
    <n v="1012000"/>
    <n v="15"/>
    <n v="4.5"/>
    <n v="98"/>
    <n v="3"/>
    <s v="Yes"/>
    <s v="Low"/>
    <n v="44367"/>
    <s v="Active"/>
    <s v="dinesh"/>
    <s v="reddy"/>
    <s v="Dinesh Reddy"/>
    <s v="DR093"/>
    <s v="Finance"/>
    <n v="1012000"/>
    <s v="High"/>
    <s v="Male"/>
    <s v="Master"/>
    <x v="6"/>
    <x v="1"/>
    <s v="Eligible"/>
  </r>
  <r>
    <s v="EMP096"/>
    <d v="1991-12-07T00:00:00"/>
    <n v="33"/>
    <d v="2019-10-20T00:00:00"/>
    <s v="Freelance"/>
    <s v="D_001"/>
    <s v="Technical Lead"/>
    <s v="Full-Time"/>
    <s v="MGR101"/>
    <n v="920000"/>
    <n v="92000"/>
    <n v="1012000"/>
    <n v="9"/>
    <n v="4.5"/>
    <n v="98.1"/>
    <n v="4"/>
    <s v="Yes"/>
    <s v="Low"/>
    <n v="45214"/>
    <s v="Active"/>
    <s v="anjana"/>
    <s v="nair"/>
    <s v="Anjana Nair"/>
    <s v="AN096"/>
    <s v="IT"/>
    <n v="1012000"/>
    <s v="High"/>
    <s v="Female"/>
    <s v="Master"/>
    <x v="1"/>
    <x v="1"/>
    <s v="Eligible"/>
  </r>
  <r>
    <s v="EMP082"/>
    <d v="1994-07-15T00:00:00"/>
    <n v="30"/>
    <d v="2022-10-28T00:00:00"/>
    <s v="Job Portal"/>
    <s v="D_001"/>
    <s v="Data Scientist"/>
    <s v="Full-Time"/>
    <s v="MGR101"/>
    <n v="920000"/>
    <n v="92000"/>
    <n v="1012000"/>
    <n v="5"/>
    <n v="4.5"/>
    <n v="97.8"/>
    <n v="3"/>
    <s v="Yes"/>
    <s v="Low"/>
    <s v="NA"/>
    <s v="Active"/>
    <s v="namita"/>
    <s v="rao"/>
    <s v="Namita Rao"/>
    <s v="NR082"/>
    <s v="IT"/>
    <n v="1012000"/>
    <s v="High"/>
    <s v="Female"/>
    <s v="Master"/>
    <x v="1"/>
    <x v="1"/>
    <s v="Not Eligible"/>
  </r>
  <r>
    <s v="EMP049"/>
    <d v="1988-02-26T00:00:00"/>
    <n v="36"/>
    <d v="2016-09-09T00:00:00"/>
    <s v="Freelance"/>
    <s v="D_003"/>
    <s v="Channel Sales Manager"/>
    <s v="Full-Time"/>
    <s v="MGR106"/>
    <n v="890000"/>
    <n v="105000"/>
    <n v="995000"/>
    <n v="14"/>
    <n v="4.4000000000000004"/>
    <n v="97.5"/>
    <n v="3"/>
    <s v="Yes"/>
    <s v="Low"/>
    <n v="44459"/>
    <s v="Active"/>
    <s v="sunil"/>
    <s v="agarwal"/>
    <s v="Sunil Agarwal"/>
    <s v="SA049"/>
    <s v="Sales"/>
    <n v="1144250"/>
    <s v="Medium"/>
    <s v="Male"/>
    <s v="Bachelor"/>
    <x v="2"/>
    <x v="0"/>
    <s v="Eligible"/>
  </r>
  <r>
    <s v="EMP007"/>
    <d v="1989-06-14T00:00:00"/>
    <n v="35"/>
    <d v="2018-11-30T00:00:00"/>
    <s v="Job Portal"/>
    <s v="D_003"/>
    <s v="Sales Manager"/>
    <s v="Full-Time"/>
    <s v="MGR106"/>
    <n v="880000"/>
    <n v="110000"/>
    <n v="990000"/>
    <n v="11"/>
    <n v="4.3"/>
    <n v="96.7"/>
    <n v="1"/>
    <s v="Yes"/>
    <s v="Medium"/>
    <n v="44880"/>
    <s v="Active"/>
    <s v="rahul"/>
    <s v="mehta"/>
    <s v="Rahul Mehta"/>
    <s v="RM007"/>
    <s v="Sales"/>
    <n v="1138500"/>
    <s v="Medium"/>
    <s v="Male"/>
    <s v="Bachelor"/>
    <x v="6"/>
    <x v="1"/>
    <s v="Not Eligible"/>
  </r>
  <r>
    <s v="EMP099"/>
    <d v="1988-06-14T00:00:00"/>
    <n v="36"/>
    <d v="2017-11-09T00:00:00"/>
    <s v="Referral"/>
    <s v="D_006"/>
    <s v="Mergers &amp; Acquisitions Analyst"/>
    <s v="Full-Time"/>
    <s v="MGR103"/>
    <n v="890000"/>
    <n v="88000"/>
    <n v="978000"/>
    <n v="13"/>
    <n v="4.4000000000000004"/>
    <n v="97.6"/>
    <n v="3"/>
    <s v="Yes"/>
    <s v="Low"/>
    <n v="44885"/>
    <s v="Active"/>
    <s v="vikas"/>
    <s v="sharma"/>
    <s v="Vikas Sharma"/>
    <s v="VS099"/>
    <s v="Finance"/>
    <n v="978000"/>
    <s v="Medium"/>
    <s v="Male"/>
    <s v="Master"/>
    <x v="3"/>
    <x v="2"/>
    <s v="Eligible"/>
  </r>
  <r>
    <s v="EMP029"/>
    <d v="1988-12-08T00:00:00"/>
    <m/>
    <d v="2017-06-17T00:00:00"/>
    <s v="LinkedIn"/>
    <s v="D_005"/>
    <s v="Process Manager"/>
    <s v="Full-Time"/>
    <s v="MGR105"/>
    <n v="890000"/>
    <n v="88000"/>
    <n v="978000"/>
    <n v="13"/>
    <n v="4.3"/>
    <n v="98"/>
    <n v="3"/>
    <s v="Yes"/>
    <s v="Low"/>
    <n v="44732"/>
    <s v="Active"/>
    <s v="nitin"/>
    <s v="jain"/>
    <s v="Nitin Jain"/>
    <s v="NJ029"/>
    <s v="Marketing"/>
    <n v="978000"/>
    <s v="Medium"/>
    <s v="Male"/>
    <s v="Bachelor"/>
    <x v="3"/>
    <x v="2"/>
    <s v="Eligible"/>
  </r>
  <r>
    <s v="EMP091"/>
    <d v="1989-01-06T00:00:00"/>
    <n v="35"/>
    <d v="2017-12-15T00:00:00"/>
    <s v="LinkedIn"/>
    <s v="D_003"/>
    <s v="Direct Sales Manager"/>
    <s v="Full-Time"/>
    <s v="MGR106"/>
    <n v="870000"/>
    <n v="98000"/>
    <n v="968000"/>
    <n v="12"/>
    <n v="4.4000000000000004"/>
    <n v="97.4"/>
    <n v="2"/>
    <s v="Yes"/>
    <s v="Low"/>
    <n v="44915"/>
    <s v="Active"/>
    <s v="sameer"/>
    <s v="bansal"/>
    <s v="Sameer Bansal"/>
    <s v="SB091"/>
    <s v="Sales"/>
    <n v="1113200"/>
    <s v="Medium"/>
    <s v="Male"/>
    <s v="Master"/>
    <x v="3"/>
    <x v="2"/>
    <s v="Not Eligible"/>
  </r>
  <r>
    <s v="EMP037"/>
    <d v="1986-02-28T00:00:00"/>
    <n v="38"/>
    <d v="2015-12-04T00:00:00"/>
    <s v="Job Portal"/>
    <s v="D_001"/>
    <s v="DevOps Engineer"/>
    <s v="Full-Time"/>
    <s v="MGR101"/>
    <n v="880000"/>
    <n v="85000"/>
    <n v="965000"/>
    <n v="16"/>
    <n v="4.4000000000000004"/>
    <n v="97.4"/>
    <n v="4"/>
    <s v="No"/>
    <s v="Low"/>
    <n v="44180"/>
    <s v="Active"/>
    <s v="ajay"/>
    <s v="sharma"/>
    <s v="Ajay Sharma"/>
    <s v="AS037"/>
    <s v="IT"/>
    <n v="965000"/>
    <s v="Medium"/>
    <s v="Male"/>
    <s v="Bachelor"/>
    <x v="2"/>
    <x v="0"/>
    <s v="Eligible"/>
  </r>
  <r>
    <s v="EMP086"/>
    <d v="1991-08-03T00:00:00"/>
    <n v="33"/>
    <d v="2019-11-26T00:00:00"/>
    <s v="Job Portal"/>
    <s v="D_001"/>
    <s v="Product Owner"/>
    <s v="Full-Time"/>
    <s v="MGR101"/>
    <n v="880000"/>
    <n v="85000"/>
    <n v="965000"/>
    <n v="9"/>
    <n v="4.4000000000000004"/>
    <n v="97.6"/>
    <n v="3"/>
    <s v="Yes"/>
    <s v="Low"/>
    <s v="NA"/>
    <s v="Active"/>
    <s v="preeti"/>
    <s v="menon"/>
    <s v="Preeti Menon"/>
    <s v="PM086"/>
    <s v="IT"/>
    <n v="965000"/>
    <s v="Medium"/>
    <s v="Female"/>
    <s v="Bachelor"/>
    <x v="2"/>
    <x v="0"/>
    <s v="Eligible"/>
  </r>
  <r>
    <s v="EMP031"/>
    <d v="1987-03-01T00:00:00"/>
    <n v="37"/>
    <d v="2016-11-06T00:00:00"/>
    <s v="Job Portal"/>
    <s v="D_003"/>
    <s v="Key Account Manager"/>
    <s v="Full-Time"/>
    <s v="MGR106"/>
    <n v="860000"/>
    <n v="98000"/>
    <n v="958000"/>
    <n v="14"/>
    <n v="4.4000000000000004"/>
    <n v="96.9"/>
    <n v="2"/>
    <s v="Yes"/>
    <s v="Low"/>
    <n v="44515"/>
    <s v="Active"/>
    <s v="ravi"/>
    <s v="shetty"/>
    <s v="Ravi Shetty"/>
    <s v="RS031"/>
    <s v="Sales"/>
    <n v="1101700"/>
    <s v="Medium"/>
    <s v="Male"/>
    <s v="Bachelor"/>
    <x v="2"/>
    <x v="0"/>
    <s v="Not Eligible"/>
  </r>
  <r>
    <s v="EMP017"/>
    <d v="1987-04-04T00:00:00"/>
    <n v="37"/>
    <d v="2016-10-12T00:00:00"/>
    <s v="Referral"/>
    <s v="D_005"/>
    <s v="Logistics Manager"/>
    <s v="Full-Time"/>
    <s v="MGR105"/>
    <n v="870000"/>
    <n v="85000"/>
    <n v="955000"/>
    <n v="14"/>
    <n v="4.3"/>
    <n v="98.1"/>
    <n v="3"/>
    <s v="Yes"/>
    <s v="Low"/>
    <n v="44489"/>
    <s v="Active"/>
    <s v="sanjay"/>
    <s v="pillai"/>
    <s v="Sanjay Pillai"/>
    <s v="SP017"/>
    <s v="Marketing"/>
    <n v="955000"/>
    <s v="Medium"/>
    <s v="Male"/>
    <s v="Bachelor"/>
    <x v="4"/>
    <x v="0"/>
    <s v="Eligible"/>
  </r>
  <r>
    <s v="EMP081"/>
    <d v="1986-11-02T00:00:00"/>
    <n v="38"/>
    <d v="2016-05-25T00:00:00"/>
    <s v="LinkedIn"/>
    <s v="D_006"/>
    <s v="Compliance Officer"/>
    <s v="Full-Time"/>
    <s v="MGR103"/>
    <n v="860000"/>
    <n v="82000"/>
    <n v="942000"/>
    <n v="16"/>
    <n v="4.3"/>
    <n v="97.1"/>
    <n v="3"/>
    <s v="No"/>
    <s v="Low"/>
    <n v="44326"/>
    <s v="Active"/>
    <s v="sachin"/>
    <s v="desai"/>
    <s v="Sachin Desai"/>
    <s v="SD081"/>
    <s v="Finance"/>
    <n v="942000"/>
    <s v="Medium"/>
    <s v="Male"/>
    <s v="Bachelor"/>
    <x v="7"/>
    <x v="2"/>
    <s v="Eligible"/>
  </r>
  <r>
    <s v="EMP001"/>
    <d v="1985-03-15T00:00:00"/>
    <n v="39"/>
    <d v="2018-04-01T00:00:00"/>
    <s v="Job Portal"/>
    <s v="D_001"/>
    <s v="Software Engineer"/>
    <s v="Full-Time"/>
    <s v="MGR101"/>
    <n v="850000"/>
    <n v="85000"/>
    <n v="935000"/>
    <n v="12"/>
    <n v="4.2"/>
    <n v="96.5"/>
    <n v="3"/>
    <s v="Yes"/>
    <s v="Low"/>
    <n v="44666"/>
    <s v="Active"/>
    <s v="rajesh"/>
    <s v="kumar"/>
    <s v="Rajesh Kumar"/>
    <s v="RK001"/>
    <s v="IT"/>
    <n v="935000"/>
    <s v="Medium"/>
    <s v="Male"/>
    <s v="Bachelor"/>
    <x v="7"/>
    <x v="2"/>
    <s v="Eligible"/>
  </r>
  <r>
    <s v="EMP089"/>
    <d v="1986-11-11T00:00:00"/>
    <n v="38"/>
    <d v="2016-04-04T00:00:00"/>
    <s v="Job Portal"/>
    <s v="D_005"/>
    <s v="Distribution Manager"/>
    <s v="Full-Time"/>
    <s v="MGR105"/>
    <n v="850000"/>
    <n v="82000"/>
    <n v="932000"/>
    <n v="16"/>
    <n v="4.3"/>
    <n v="97.7"/>
    <n v="3"/>
    <s v="No"/>
    <s v="Low"/>
    <n v="44301"/>
    <s v="Active"/>
    <s v="akash"/>
    <s v="yadav"/>
    <s v="Akash Yadav"/>
    <s v="AY089"/>
    <s v="Marketing"/>
    <n v="932000"/>
    <s v="Medium"/>
    <s v="Male"/>
    <s v="Bachelor"/>
    <x v="1"/>
    <x v="1"/>
    <s v="Eligible"/>
  </r>
  <r>
    <s v="EMP035"/>
    <d v="1989-07-17T00:00:00"/>
    <n v="35"/>
    <d v="2018-05-13T00:00:00"/>
    <s v="LinkedIn"/>
    <s v="D_005"/>
    <s v="Quality Manager"/>
    <s v="Full-Time"/>
    <s v="MGR105"/>
    <n v="850000"/>
    <n v="82000"/>
    <n v="932000"/>
    <n v="12"/>
    <n v="4.3"/>
    <n v="97.6"/>
    <n v="3"/>
    <s v="Yes"/>
    <s v="Low"/>
    <n v="45066"/>
    <s v="Active"/>
    <s v="manish"/>
    <s v="goyal"/>
    <s v="Manish Goyal"/>
    <s v="MG035"/>
    <s v="Marketing"/>
    <n v="932000"/>
    <s v="Medium"/>
    <s v="Male"/>
    <s v="Bachelor"/>
    <x v="4"/>
    <x v="0"/>
    <s v="Eligible"/>
  </r>
  <r>
    <s v="EMP095"/>
    <d v="1990-08-25T00:00:00"/>
    <n v="34"/>
    <d v="2019-03-14T00:00:00"/>
    <s v="Job Portal"/>
    <s v="D_004"/>
    <s v="Growth Marketing Manager"/>
    <s v="Full-Time"/>
    <s v="MGR104"/>
    <n v="850000"/>
    <n v="82000"/>
    <n v="932000"/>
    <n v="10"/>
    <n v="4.4000000000000004"/>
    <n v="97.8"/>
    <n v="3"/>
    <s v="Yes"/>
    <s v="Low"/>
    <s v="NA"/>
    <s v="Active"/>
    <s v="puneet"/>
    <s v="mehta"/>
    <s v="Puneet Mehta"/>
    <s v="PM095"/>
    <s v="Admin"/>
    <n v="932000"/>
    <s v="Medium"/>
    <s v="Male"/>
    <s v="Bachelor"/>
    <x v="5"/>
    <x v="0"/>
    <s v="Eligible"/>
  </r>
  <r>
    <s v="EMP052"/>
    <d v="1991-08-29T00:00:00"/>
    <n v="33"/>
    <d v="2019-06-20T00:00:00"/>
    <s v="Job Portal"/>
    <s v="D_002"/>
    <s v="Talent Acquisition Manager"/>
    <s v="Full-Time"/>
    <s v="MGR102"/>
    <n v="850000"/>
    <n v="82000"/>
    <n v="932000"/>
    <n v="9"/>
    <n v="4.4000000000000004"/>
    <n v="97.8"/>
    <n v="2"/>
    <s v="Yes"/>
    <s v="Low"/>
    <n v="45092"/>
    <s v="Active"/>
    <s v="aditi"/>
    <s v="malhotra"/>
    <s v="Aditi Malhotra"/>
    <s v="AM052"/>
    <s v="HR"/>
    <n v="932000"/>
    <s v="Medium"/>
    <s v="Female"/>
    <s v="Bachelor"/>
    <x v="7"/>
    <x v="2"/>
    <s v="Not Eligible"/>
  </r>
  <r>
    <s v="EMP068"/>
    <d v="1991-07-22T00:00:00"/>
    <n v="33"/>
    <d v="2019-10-18T00:00:00"/>
    <s v="Job Portal"/>
    <s v="D_001"/>
    <s v="Scrum Master"/>
    <s v="Full-Time"/>
    <s v="MGR101"/>
    <n v="850000"/>
    <n v="82000"/>
    <n v="932000"/>
    <n v="9"/>
    <n v="4.4000000000000004"/>
    <n v="97.7"/>
    <n v="3"/>
    <s v="Yes"/>
    <s v="Low"/>
    <s v="NA"/>
    <s v="Active"/>
    <s v="rashmi"/>
    <s v="kapoor"/>
    <s v="Rashmi Kapoor"/>
    <s v="RK068"/>
    <s v="IT"/>
    <n v="932000"/>
    <s v="Medium"/>
    <s v="Female"/>
    <s v="Bachelor"/>
    <x v="2"/>
    <x v="0"/>
    <s v="Eligible"/>
  </r>
  <r>
    <s v="EMP085"/>
    <d v="1990-06-21T00:00:00"/>
    <n v="34"/>
    <d v="2019-01-11T00:00:00"/>
    <s v="Job Portal"/>
    <s v="D_003"/>
    <s v="Partner Manager"/>
    <s v="Full-Time"/>
    <s v="MGR106"/>
    <n v="840000"/>
    <n v="88000"/>
    <n v="928000"/>
    <n v="10"/>
    <n v="4.3"/>
    <n v="97"/>
    <n v="2"/>
    <s v="Yes"/>
    <s v="Low"/>
    <n v="44946"/>
    <s v="Active"/>
    <s v="anuj"/>
    <s v="sinha"/>
    <s v="Anuj Sinha"/>
    <s v="AS085"/>
    <s v="Sales"/>
    <n v="1067200"/>
    <s v="Medium"/>
    <s v="Male"/>
    <s v="Bachelor"/>
    <x v="6"/>
    <x v="1"/>
    <s v="Not Eligible"/>
  </r>
  <r>
    <s v="EMP043"/>
    <d v="1987-01-19T00:00:00"/>
    <n v="37"/>
    <d v="2016-02-08T00:00:00"/>
    <s v="LinkedIn"/>
    <s v="D_003"/>
    <s v="Territory Manager"/>
    <s v="Full-Time"/>
    <s v="MGR106"/>
    <n v="830000"/>
    <n v="92000"/>
    <n v="922000"/>
    <n v="15"/>
    <n v="4.3"/>
    <n v="97.1"/>
    <n v="2"/>
    <s v="Yes"/>
    <s v="Low"/>
    <n v="44242"/>
    <s v="Active"/>
    <s v="harish"/>
    <s v="menon"/>
    <s v="Harish Menon"/>
    <s v="HM043"/>
    <s v="Sales"/>
    <n v="1060300"/>
    <s v="Medium"/>
    <s v="Male"/>
    <s v="Master"/>
    <x v="4"/>
    <x v="0"/>
    <s v="Not Eligible"/>
  </r>
  <r>
    <s v="EMP013"/>
    <d v="1990-11-27T00:00:00"/>
    <n v="34"/>
    <d v="2018-07-25T00:00:00"/>
    <s v="Job Portal"/>
    <s v="D_003"/>
    <s v="Business Development Manager"/>
    <s v="Full-Time"/>
    <s v="MGR106"/>
    <n v="810000"/>
    <n v="95000"/>
    <n v="905000"/>
    <n v="10"/>
    <n v="4.2"/>
    <n v="95.5"/>
    <n v="2"/>
    <s v="Yes"/>
    <s v="Medium"/>
    <s v="NA"/>
    <s v="Active"/>
    <s v="arjun"/>
    <s v="rao"/>
    <s v="Arjun Rao"/>
    <s v="AR013"/>
    <s v="Sales"/>
    <n v="1040750"/>
    <s v="Medium"/>
    <s v="Male"/>
    <s v="Bachelor"/>
    <x v="5"/>
    <x v="0"/>
    <s v="Not Eligible"/>
  </r>
  <r>
    <s v="EMP033"/>
    <d v="1985-10-23T00:00:00"/>
    <n v="39"/>
    <d v="2015-09-30T00:00:00"/>
    <s v="Referral"/>
    <s v="D_006"/>
    <s v="Senior Accountant"/>
    <s v="Full-Time"/>
    <s v="MGR103"/>
    <n v="820000"/>
    <n v="78000"/>
    <n v="898000"/>
    <n v="17"/>
    <n v="4.0999999999999996"/>
    <n v="96.1"/>
    <n v="2"/>
    <s v="No"/>
    <s v="Low"/>
    <n v="44084"/>
    <s v="Active"/>
    <s v="prakash"/>
    <s v="reddy"/>
    <s v="Prakash Reddy"/>
    <s v="PR033"/>
    <s v="Finance"/>
    <n v="898000"/>
    <s v="Medium"/>
    <s v="Male"/>
    <s v="Master"/>
    <x v="5"/>
    <x v="0"/>
    <s v="Not Eligible"/>
  </r>
  <r>
    <s v="EMP055"/>
    <d v="1987-07-06T00:00:00"/>
    <n v="37"/>
    <d v="2016-11-12T00:00:00"/>
    <s v="Referral"/>
    <s v="D_001"/>
    <s v="Database Administrator"/>
    <s v="Full-Time"/>
    <s v="MGR101"/>
    <n v="820000"/>
    <n v="78000"/>
    <n v="898000"/>
    <n v="15"/>
    <n v="4.2"/>
    <n v="96.8"/>
    <n v="3"/>
    <s v="Yes"/>
    <s v="Low"/>
    <n v="44525"/>
    <s v="Active"/>
    <s v="karthik"/>
    <s v="reddy"/>
    <s v="Karthik Reddy"/>
    <s v="KR055"/>
    <s v="IT"/>
    <n v="898000"/>
    <s v="Medium"/>
    <s v="Male"/>
    <s v="Bachelor"/>
    <x v="5"/>
    <x v="0"/>
    <s v="Eligible"/>
  </r>
  <r>
    <s v="EMP023"/>
    <d v="1986-01-07T00:00:00"/>
    <n v="38"/>
    <d v="2016-08-11T00:00:00"/>
    <s v="Campus"/>
    <s v="D_005"/>
    <s v="Warehouse Manager"/>
    <s v="Full-Time"/>
    <s v="MGR105"/>
    <n v="820000"/>
    <n v="78000"/>
    <n v="898000"/>
    <n v="15"/>
    <n v="4.2"/>
    <n v="97"/>
    <n v="2"/>
    <s v="Yes"/>
    <s v="Low"/>
    <n v="44433"/>
    <s v="Active"/>
    <s v="vishal"/>
    <s v="tiwari"/>
    <s v="Vishal Tiwari"/>
    <s v="VT023"/>
    <s v="Marketing"/>
    <n v="898000"/>
    <s v="Medium"/>
    <s v="Male"/>
    <s v="Bachelor"/>
    <x v="6"/>
    <x v="1"/>
    <s v="Not Eligible"/>
  </r>
  <r>
    <s v="EMP080"/>
    <d v="1992-04-20T00:00:00"/>
    <n v="32"/>
    <d v="2021-03-12T00:00:00"/>
    <s v="Campus"/>
    <s v="D_002"/>
    <s v="Diversity &amp; Inclusion Manager"/>
    <s v="Full-Time"/>
    <s v="MGR102"/>
    <n v="820000"/>
    <n v="78000"/>
    <n v="898000"/>
    <n v="8"/>
    <n v="4.4000000000000004"/>
    <n v="97.9"/>
    <n v="3"/>
    <s v="Yes"/>
    <s v="Low"/>
    <s v="NA"/>
    <s v="Active"/>
    <s v="shilpa"/>
    <s v="kulkarni"/>
    <s v="Shilpa Kulkarni"/>
    <s v="SK080"/>
    <s v="HR"/>
    <n v="898000"/>
    <s v="Medium"/>
    <s v="Female"/>
    <s v="Bachelor"/>
    <x v="2"/>
    <x v="0"/>
    <s v="Eligible"/>
  </r>
  <r>
    <s v="EMP067"/>
    <d v="1986-11-10T00:00:00"/>
    <n v="38"/>
    <d v="2016-03-05T00:00:00"/>
    <s v="Referral"/>
    <s v="D_003"/>
    <s v="Sales Trainer"/>
    <s v="Full-Time"/>
    <s v="MGR106"/>
    <n v="810000"/>
    <n v="78000"/>
    <n v="888000"/>
    <n v="16"/>
    <n v="4.3"/>
    <n v="97.4"/>
    <n v="2"/>
    <s v="No"/>
    <s v="Low"/>
    <n v="44270"/>
    <s v="Active"/>
    <s v="naveen"/>
    <s v="gupta"/>
    <s v="Naveen Gupta"/>
    <s v="NG067"/>
    <s v="Sales"/>
    <n v="1021200"/>
    <s v="Medium"/>
    <s v="Male"/>
    <s v="Master"/>
    <x v="3"/>
    <x v="2"/>
    <s v="Not Eligible"/>
  </r>
  <r>
    <s v="EMP060"/>
    <d v="1991-06-14T00:00:00"/>
    <n v="33"/>
    <d v="2020-04-11T00:00:00"/>
    <s v="LinkedIn"/>
    <s v="D_004"/>
    <s v="Communications Manager"/>
    <s v="Full-Time"/>
    <s v="MGR104"/>
    <n v="810000"/>
    <n v="78000"/>
    <n v="888000"/>
    <n v="9"/>
    <n v="4.3"/>
    <n v="97.3"/>
    <n v="2"/>
    <s v="Yes"/>
    <s v="Low"/>
    <s v="NA"/>
    <s v="Active"/>
    <s v="nidhi"/>
    <s v="kulkarni"/>
    <s v="Nidhi Kulkarni"/>
    <s v="NK060"/>
    <s v="Admin"/>
    <n v="888000"/>
    <s v="Medium"/>
    <s v="Female"/>
    <s v="Bachelor"/>
    <x v="3"/>
    <x v="2"/>
    <s v="Not Eligible"/>
  </r>
  <r>
    <s v="EMP071"/>
    <d v="1987-03-29T00:00:00"/>
    <n v="37"/>
    <d v="2016-07-22T00:00:00"/>
    <s v="Job Portal"/>
    <s v="D_005"/>
    <s v="Safety Manager"/>
    <s v="Full-Time"/>
    <s v="MGR105"/>
    <n v="800000"/>
    <n v="76000"/>
    <n v="876000"/>
    <n v="15"/>
    <n v="4.2"/>
    <n v="97.2"/>
    <n v="3"/>
    <s v="Yes"/>
    <s v="Low"/>
    <n v="44407"/>
    <s v="Active"/>
    <s v="tarun"/>
    <s v="shetty"/>
    <s v="Tarun Shetty"/>
    <s v="TS071"/>
    <s v="Marketing"/>
    <n v="876000"/>
    <s v="Medium"/>
    <s v="Male"/>
    <s v="Bachelor"/>
    <x v="5"/>
    <x v="0"/>
    <s v="Eligible"/>
  </r>
  <r>
    <s v="EMP063"/>
    <d v="1987-08-21T00:00:00"/>
    <n v="37"/>
    <d v="2016-06-16T00:00:00"/>
    <s v="Campus"/>
    <s v="D_001"/>
    <s v="Network Engineer"/>
    <s v="Full-Time"/>
    <s v="MGR101"/>
    <n v="790000"/>
    <n v="75000"/>
    <n v="865000"/>
    <n v="15"/>
    <n v="4.2"/>
    <n v="96.9"/>
    <n v="3"/>
    <s v="Yes"/>
    <s v="Low"/>
    <n v="44367"/>
    <s v="Active"/>
    <s v="abhishek"/>
    <s v="pandey"/>
    <s v="Abhishek Pandey"/>
    <s v="AP063"/>
    <s v="IT"/>
    <n v="865000"/>
    <s v="Medium"/>
    <s v="Male"/>
    <s v="Master"/>
    <x v="7"/>
    <x v="2"/>
    <s v="Eligible"/>
  </r>
  <r>
    <s v="EMP083"/>
    <d v="1987-02-27T00:00:00"/>
    <n v="37"/>
    <d v="2016-09-19T00:00:00"/>
    <s v="Freelance"/>
    <s v="D_005"/>
    <s v="Maintenance Manager"/>
    <s v="Full-Time"/>
    <s v="MGR105"/>
    <n v="790000"/>
    <n v="75000"/>
    <n v="865000"/>
    <n v="15"/>
    <n v="4.0999999999999996"/>
    <n v="96.3"/>
    <n v="2"/>
    <s v="Yes"/>
    <s v="Low"/>
    <n v="44464"/>
    <s v="Active"/>
    <s v="yogesh"/>
    <s v="pandey"/>
    <s v="Yogesh Pandey"/>
    <s v="YP083"/>
    <s v="Marketing"/>
    <n v="865000"/>
    <s v="Medium"/>
    <s v="Male"/>
    <s v="Master"/>
    <x v="4"/>
    <x v="0"/>
    <s v="Not Eligible"/>
  </r>
  <r>
    <s v="EMP039"/>
    <d v="1988-04-03T00:00:00"/>
    <n v="36"/>
    <d v="2017-07-26T00:00:00"/>
    <s v="LinkedIn"/>
    <s v="D_006"/>
    <s v="Investment Analyst"/>
    <s v="Full-Time"/>
    <s v="MGR103"/>
    <n v="790000"/>
    <n v="72000"/>
    <n v="862000"/>
    <n v="13"/>
    <n v="4.2"/>
    <n v="96.5"/>
    <n v="2"/>
    <s v="Yes"/>
    <s v="Low"/>
    <n v="44752"/>
    <s v="Active"/>
    <s v="sandeep"/>
    <s v="rana"/>
    <s v="Sandeep Rana"/>
    <s v="SR039"/>
    <s v="Finance"/>
    <n v="862000"/>
    <s v="Medium"/>
    <s v="Male"/>
    <s v="Bachelor"/>
    <x v="6"/>
    <x v="1"/>
    <s v="Not Eligible"/>
  </r>
  <r>
    <s v="EMP073"/>
    <d v="1990-12-24T00:00:00"/>
    <n v="34"/>
    <d v="2019-02-16T00:00:00"/>
    <s v="Job Portal"/>
    <s v="D_003"/>
    <s v="Customer Success Manager"/>
    <s v="Full-Time"/>
    <s v="MGR106"/>
    <n v="780000"/>
    <n v="75000"/>
    <n v="855000"/>
    <n v="10"/>
    <n v="4.2"/>
    <n v="96.6"/>
    <n v="2"/>
    <s v="Yes"/>
    <s v="Medium"/>
    <s v="NA"/>
    <s v="Active"/>
    <s v="ashish"/>
    <s v="pillai"/>
    <s v="Ashish Pillai"/>
    <s v="AP073"/>
    <s v="Sales"/>
    <n v="983250"/>
    <s v="Medium"/>
    <s v="Male"/>
    <s v="Master"/>
    <x v="2"/>
    <x v="0"/>
    <s v="Not Eligible"/>
  </r>
  <r>
    <s v="EMP027"/>
    <d v="1984-09-15T00:00:00"/>
    <n v="40"/>
    <d v="2015-01-09T00:00:00"/>
    <s v="Referral"/>
    <s v="D_001"/>
    <s v="System Administrator"/>
    <s v="Full-Time"/>
    <s v="MGR101"/>
    <n v="780000"/>
    <n v="72000"/>
    <n v="852000"/>
    <n v="19"/>
    <n v="4.0999999999999996"/>
    <n v="96.4"/>
    <n v="3"/>
    <s v="No"/>
    <s v="Low"/>
    <n v="43845"/>
    <s v="Active"/>
    <s v="ashok"/>
    <s v="bansal"/>
    <s v="Ashok Bansal"/>
    <s v="AB027"/>
    <s v="IT"/>
    <n v="852000"/>
    <s v="Medium"/>
    <s v="Male"/>
    <s v="Bachelor"/>
    <x v="7"/>
    <x v="2"/>
    <s v="Eligible"/>
  </r>
  <r>
    <s v="EMP076"/>
    <d v="1991-02-01T00:00:00"/>
    <n v="33"/>
    <d v="2019-09-27T00:00:00"/>
    <s v="Job Portal"/>
    <s v="D_005"/>
    <s v="Customer Service Manager"/>
    <s v="Full-Time"/>
    <s v="MGR105"/>
    <n v="780000"/>
    <n v="72000"/>
    <n v="852000"/>
    <n v="9"/>
    <n v="4.3"/>
    <n v="97.5"/>
    <n v="2"/>
    <s v="Yes"/>
    <s v="Low"/>
    <n v="45184"/>
    <s v="Active"/>
    <s v="sunita"/>
    <s v="nair"/>
    <s v="Sunita Nair"/>
    <s v="SN076"/>
    <s v="Marketing"/>
    <n v="852000"/>
    <s v="Medium"/>
    <s v="Female"/>
    <s v="Bachelor"/>
    <x v="7"/>
    <x v="2"/>
    <s v="Not Eligible"/>
  </r>
  <r>
    <s v="EMP024"/>
    <d v="1992-07-18T00:00:00"/>
    <n v="32"/>
    <d v="2020-12-05T00:00:00"/>
    <s v="LinkedIn"/>
    <s v="D_004"/>
    <s v="Brand Manager"/>
    <s v="Full-Time"/>
    <s v="MGR104"/>
    <n v="780000"/>
    <n v="72000"/>
    <n v="852000"/>
    <n v="8"/>
    <n v="4.4000000000000004"/>
    <n v="98.3"/>
    <n v="3"/>
    <s v="Yes"/>
    <s v="Low"/>
    <s v="NA"/>
    <s v="Active"/>
    <s v="anjali"/>
    <s v="sinha"/>
    <s v="Anjali Sinha"/>
    <s v="AS024"/>
    <s v="Admin"/>
    <n v="852000"/>
    <s v="Medium"/>
    <s v="Female"/>
    <s v="Bachelor"/>
    <x v="2"/>
    <x v="0"/>
    <s v="Eligible"/>
  </r>
  <r>
    <s v="EMP050"/>
    <d v="1993-10-13T00:00:00"/>
    <n v="31"/>
    <d v="2021-05-22T00:00:00"/>
    <s v="Job Portal"/>
    <s v="D_001"/>
    <s v="Cybersecurity Analyst"/>
    <s v="Full-Time"/>
    <s v="MGR101"/>
    <n v="780000"/>
    <n v="72000"/>
    <n v="852000"/>
    <n v="6"/>
    <n v="4.2"/>
    <n v="96.7"/>
    <n v="3"/>
    <s v="Yes"/>
    <s v="Low"/>
    <s v="NA"/>
    <s v="Active"/>
    <s v="kavya"/>
    <s v="iyer"/>
    <s v="Kavya Iyer"/>
    <s v="KI050"/>
    <s v="IT"/>
    <n v="852000"/>
    <s v="Medium"/>
    <s v="Female"/>
    <s v="Bachelor"/>
    <x v="1"/>
    <x v="1"/>
    <s v="Not Eligible"/>
  </r>
  <r>
    <s v="EMP003"/>
    <d v="1988-11-10T00:00:00"/>
    <n v="36"/>
    <d v="2017-01-20T00:00:00"/>
    <s v="Referral"/>
    <s v="D_006"/>
    <s v="Financial Analyst"/>
    <s v="Full-Time"/>
    <s v="MGR103"/>
    <n v="780000"/>
    <n v="70000"/>
    <n v="850000"/>
    <n v="14"/>
    <n v="3.8"/>
    <n v="94.3"/>
    <n v="1"/>
    <s v="No"/>
    <s v="Medium"/>
    <s v="NA"/>
    <s v="Active"/>
    <s v="amit"/>
    <s v="patel"/>
    <s v="Amit Patel"/>
    <s v="AP003"/>
    <s v="Finance"/>
    <n v="850000"/>
    <s v="Medium"/>
    <s v="Male"/>
    <s v="Master"/>
    <x v="2"/>
    <x v="0"/>
    <s v="Not Eligible"/>
  </r>
  <r>
    <s v="EMP087"/>
    <d v="1988-03-16T00:00:00"/>
    <n v="36"/>
    <d v="2017-07-08T00:00:00"/>
    <s v="LinkedIn"/>
    <s v="D_006"/>
    <s v="Internal Auditor"/>
    <s v="Full-Time"/>
    <s v="MGR103"/>
    <n v="770000"/>
    <n v="72000"/>
    <n v="842000"/>
    <n v="13"/>
    <n v="4.0999999999999996"/>
    <n v="96.5"/>
    <n v="2"/>
    <s v="Yes"/>
    <s v="Low"/>
    <n v="44757"/>
    <s v="Active"/>
    <s v="hemant"/>
    <s v="gupta"/>
    <s v="Hemant Gupta"/>
    <s v="HG087"/>
    <s v="Finance"/>
    <n v="842000"/>
    <s v="Medium"/>
    <s v="Male"/>
    <s v="Bachelor"/>
    <x v="5"/>
    <x v="0"/>
    <s v="Not Eligible"/>
  </r>
  <r>
    <s v="EMP057"/>
    <d v="1989-09-02T00:00:00"/>
    <n v="35"/>
    <d v="2018-05-15T00:00:00"/>
    <s v="Referral"/>
    <s v="D_006"/>
    <s v="Risk Analyst"/>
    <s v="Full-Time"/>
    <s v="MGR103"/>
    <n v="770000"/>
    <n v="71000"/>
    <n v="841000"/>
    <n v="11"/>
    <n v="4.0999999999999996"/>
    <n v="96.2"/>
    <n v="2"/>
    <s v="Yes"/>
    <s v="Low"/>
    <n v="45066"/>
    <s v="Active"/>
    <s v="mohit"/>
    <s v="jain"/>
    <s v="Mohit Jain"/>
    <s v="MJ057"/>
    <s v="Finance"/>
    <n v="841000"/>
    <s v="Medium"/>
    <s v="Male"/>
    <s v="Bachelor"/>
    <x v="7"/>
    <x v="2"/>
    <s v="Not Eligible"/>
  </r>
  <r>
    <s v="EMP065"/>
    <d v="1990-02-15T00:00:00"/>
    <n v="34"/>
    <d v="2018-09-13T00:00:00"/>
    <s v="Job Portal"/>
    <s v="D_005"/>
    <s v="Inventory Manager"/>
    <s v="Full-Time"/>
    <s v="MGR105"/>
    <n v="760000"/>
    <n v="72000"/>
    <n v="832000"/>
    <n v="11"/>
    <n v="4.0999999999999996"/>
    <n v="96.4"/>
    <n v="2"/>
    <s v="Yes"/>
    <s v="Low"/>
    <n v="45189"/>
    <s v="Active"/>
    <s v="pankaj"/>
    <s v="bansal"/>
    <s v="Pankaj Bansal"/>
    <s v="PB065"/>
    <s v="Marketing"/>
    <n v="832000"/>
    <s v="Medium"/>
    <s v="Male"/>
    <s v="Master"/>
    <x v="1"/>
    <x v="1"/>
    <s v="Not Eligible"/>
  </r>
  <r>
    <s v="EMP090"/>
    <d v="1992-05-24T00:00:00"/>
    <n v="32"/>
    <d v="2020-08-19T00:00:00"/>
    <s v="Campus"/>
    <s v="D_004"/>
    <s v="Partnership Manager"/>
    <s v="Full-Time"/>
    <s v="MGR104"/>
    <n v="760000"/>
    <n v="72000"/>
    <n v="832000"/>
    <n v="8"/>
    <n v="4.2"/>
    <n v="96.9"/>
    <n v="2"/>
    <s v="Yes"/>
    <s v="Low"/>
    <s v="NA"/>
    <s v="Active"/>
    <s v="naina"/>
    <s v="tiwari"/>
    <s v="Naina Tiwari"/>
    <s v="NT090"/>
    <s v="Admin"/>
    <n v="832000"/>
    <s v="Medium"/>
    <s v="Female"/>
    <s v="Bachelor"/>
    <x v="4"/>
    <x v="0"/>
    <s v="Not Eligible"/>
  </r>
  <r>
    <s v="EMP045"/>
    <d v="1989-03-12T00:00:00"/>
    <n v="35"/>
    <d v="2017-08-17T00:00:00"/>
    <s v="Job Portal"/>
    <s v="D_006"/>
    <s v="Treasury Analyst"/>
    <s v="Full-Time"/>
    <s v="MGR103"/>
    <n v="760000"/>
    <n v="70000"/>
    <n v="830000"/>
    <n v="12"/>
    <n v="4"/>
    <n v="95.8"/>
    <n v="2"/>
    <s v="Yes"/>
    <s v="Low"/>
    <n v="44798"/>
    <s v="Active"/>
    <s v="aditya"/>
    <s v="verma"/>
    <s v="Aditya Verma"/>
    <s v="AV045"/>
    <s v="Finance"/>
    <n v="830000"/>
    <s v="Medium"/>
    <s v="Male"/>
    <s v="Bachelor"/>
    <x v="7"/>
    <x v="2"/>
    <s v="Not Eligible"/>
  </r>
  <r>
    <s v="EMP015"/>
    <d v="1988-07-09T00:00:00"/>
    <n v="36"/>
    <d v="2017-09-03T00:00:00"/>
    <s v="Job Portal"/>
    <s v="D_006"/>
    <s v="Tax Consultant"/>
    <s v="Full-Time"/>
    <s v="MGR103"/>
    <n v="750000"/>
    <n v="68000"/>
    <n v="818000"/>
    <n v="12"/>
    <n v="4"/>
    <n v="96.8"/>
    <n v="2"/>
    <s v="Yes"/>
    <s v="Low"/>
    <n v="44819"/>
    <s v="Active"/>
    <s v="karan"/>
    <s v="malhotra"/>
    <s v="Karan Malhotra"/>
    <s v="KM015"/>
    <s v="Finance"/>
    <n v="818000"/>
    <s v="Medium"/>
    <s v="Male"/>
    <s v="Bachelor"/>
    <x v="6"/>
    <x v="1"/>
    <s v="Not Eligible"/>
  </r>
  <r>
    <s v="EMP069"/>
    <d v="1989-01-04T00:00:00"/>
    <n v="35"/>
    <d v="2018-04-26T00:00:00"/>
    <s v="Freelance"/>
    <s v="D_006"/>
    <s v="Credit Analyst"/>
    <s v="Full-Time"/>
    <s v="MGR103"/>
    <n v="740000"/>
    <n v="68000"/>
    <n v="808000"/>
    <n v="12"/>
    <n v="4"/>
    <n v="95.6"/>
    <n v="2"/>
    <s v="Yes"/>
    <s v="Low"/>
    <n v="45026"/>
    <s v="Active"/>
    <s v="deepak"/>
    <s v="yadav"/>
    <s v="Deepak Yadav"/>
    <s v="DY069"/>
    <s v="Finance"/>
    <n v="808000"/>
    <s v="Medium"/>
    <s v="Male"/>
    <s v="Bachelor"/>
    <x v="6"/>
    <x v="1"/>
    <s v="Not Eligible"/>
  </r>
  <r>
    <s v="EMP032"/>
    <d v="1992-06-14T00:00:00"/>
    <n v="32"/>
    <d v="2020-04-19T00:00:00"/>
    <s v="LinkedIn"/>
    <s v="D_001"/>
    <s v="Business Analyst"/>
    <s v="Full-Time"/>
    <s v="MGR101"/>
    <n v="740000"/>
    <n v="68000"/>
    <n v="808000"/>
    <n v="8"/>
    <n v="4.2"/>
    <n v="97.2"/>
    <n v="2"/>
    <s v="Yes"/>
    <s v="Low"/>
    <s v="NA"/>
    <s v="Active"/>
    <s v="tanvi"/>
    <s v="deshpande"/>
    <s v="Tanvi Deshpande"/>
    <s v="TD032"/>
    <s v="IT"/>
    <n v="808000"/>
    <s v="Medium"/>
    <s v="Female"/>
    <s v="Bachelor"/>
    <x v="7"/>
    <x v="2"/>
    <s v="Not Eligible"/>
  </r>
  <r>
    <s v="EMP064"/>
    <d v="1992-10-03T00:00:00"/>
    <n v="32"/>
    <d v="2020-11-29T00:00:00"/>
    <s v="LinkedIn"/>
    <s v="D_006"/>
    <s v="Payroll Manager"/>
    <s v="Full-Time"/>
    <s v="MGR103"/>
    <n v="730000"/>
    <n v="68000"/>
    <n v="798000"/>
    <n v="8"/>
    <n v="4"/>
    <n v="95.9"/>
    <n v="2"/>
    <s v="Yes"/>
    <s v="Low"/>
    <s v="NA"/>
    <s v="Active"/>
    <s v="megha"/>
    <s v="tiwari"/>
    <s v="Megha Tiwari"/>
    <s v="MT064"/>
    <s v="Finance"/>
    <n v="798000"/>
    <s v="Medium"/>
    <s v="Female"/>
    <s v="Bachelor"/>
    <x v="5"/>
    <x v="0"/>
    <s v="Not Eligible"/>
  </r>
  <r>
    <s v="EMP053"/>
    <d v="1990-12-11T00:00:00"/>
    <n v="34"/>
    <d v="2019-03-18T00:00:00"/>
    <s v="LinkedIn"/>
    <s v="D_005"/>
    <s v="Facilities Manager"/>
    <s v="Full-Time"/>
    <s v="MGR105"/>
    <n v="720000"/>
    <n v="68000"/>
    <n v="788000"/>
    <n v="10"/>
    <n v="4"/>
    <n v="95.4"/>
    <n v="2"/>
    <s v="Yes"/>
    <s v="Medium"/>
    <s v="NA"/>
    <s v="Active"/>
    <s v="vivek"/>
    <s v="nair"/>
    <s v="Vivek Nair"/>
    <s v="VN053"/>
    <s v="Marketing"/>
    <n v="788000"/>
    <s v="Medium"/>
    <s v="Male"/>
    <s v="Bachelor"/>
    <x v="6"/>
    <x v="1"/>
    <s v="Not Eligible"/>
  </r>
  <r>
    <s v="EMP078"/>
    <d v="1993-09-26T00:00:00"/>
    <n v="31"/>
    <d v="2021-06-20T00:00:00"/>
    <s v="Referral"/>
    <s v="D_004"/>
    <s v="Influencer Marketing Manager"/>
    <s v="Full-Time"/>
    <s v="MGR104"/>
    <n v="720000"/>
    <n v="68000"/>
    <n v="788000"/>
    <n v="6"/>
    <n v="4.2"/>
    <n v="96.8"/>
    <n v="2"/>
    <s v="Yes"/>
    <s v="Low"/>
    <s v="NA"/>
    <s v="Active"/>
    <s v="archana"/>
    <s v="bhatt"/>
    <s v="Archana Bhatt"/>
    <s v="AB078"/>
    <s v="Admin"/>
    <n v="788000"/>
    <s v="Medium"/>
    <s v="Female"/>
    <s v="Bachelor"/>
    <x v="3"/>
    <x v="2"/>
    <s v="Not Eligible"/>
  </r>
  <r>
    <s v="EMP094"/>
    <d v="1994-04-12T00:00:00"/>
    <n v="30"/>
    <d v="2022-11-27T00:00:00"/>
    <s v="Referral"/>
    <s v="D_005"/>
    <s v="Quality Assurance Manager"/>
    <s v="Full-Time"/>
    <s v="MGR105"/>
    <n v="720000"/>
    <n v="68000"/>
    <n v="788000"/>
    <n v="5"/>
    <n v="4"/>
    <n v="95.7"/>
    <n v="2"/>
    <s v="Yes"/>
    <s v="Medium"/>
    <s v="NA"/>
    <s v="Active"/>
    <s v="shraddha"/>
    <s v="joshi"/>
    <s v="Shraddha Joshi"/>
    <s v="SJ094"/>
    <s v="Marketing"/>
    <n v="788000"/>
    <s v="Medium"/>
    <s v="Female"/>
    <s v="Bachelor"/>
    <x v="7"/>
    <x v="2"/>
    <s v="Not Eligible"/>
  </r>
  <r>
    <s v="EMP006"/>
    <d v="1991-04-25T00:00:00"/>
    <n v="33"/>
    <d v="2019-09-22T00:00:00"/>
    <s v="LinkedIn"/>
    <s v="D_001"/>
    <s v="Data Analyst"/>
    <s v="Full-Time"/>
    <s v="MGR101"/>
    <n v="720000"/>
    <n v="65000"/>
    <n v="785000"/>
    <n v="9"/>
    <n v="4.0999999999999996"/>
    <n v="95.8"/>
    <n v="2"/>
    <s v="Yes"/>
    <s v="Low"/>
    <s v="NA"/>
    <s v="Active"/>
    <s v="anita"/>
    <s v="desai"/>
    <s v="Anita Desai"/>
    <s v="AD006"/>
    <s v="IT"/>
    <n v="785000"/>
    <s v="Medium"/>
    <s v="Female"/>
    <s v="Bachelor"/>
    <x v="7"/>
    <x v="2"/>
    <s v="Not Eligible"/>
  </r>
  <r>
    <s v="EMP028"/>
    <d v="1991-04-26T00:00:00"/>
    <n v="33"/>
    <d v="2019-10-23T00:00:00"/>
    <s v="Job Portal"/>
    <s v="D_006"/>
    <s v="Budget Analyst"/>
    <s v="Full-Time"/>
    <s v="MGR103"/>
    <n v="710000"/>
    <n v="65000"/>
    <n v="775000"/>
    <n v="9"/>
    <n v="4"/>
    <n v="95.7"/>
    <n v="2"/>
    <s v="Yes"/>
    <s v="Low"/>
    <s v="NA"/>
    <s v="Active"/>
    <s v="preeti"/>
    <s v="mishra"/>
    <s v="Preeti Mishra"/>
    <s v="PM028"/>
    <s v="Finance"/>
    <n v="775000"/>
    <s v="Medium"/>
    <s v="Female"/>
    <s v="Bachelor"/>
    <x v="4"/>
    <x v="0"/>
    <s v="Not Eligible"/>
  </r>
  <r>
    <s v="EMP098"/>
    <d v="1993-09-01T00:00:00"/>
    <n v="31"/>
    <d v="2021-07-16T00:00:00"/>
    <s v="Job Portal"/>
    <s v="D_002"/>
    <s v="Organizational Development Specialist"/>
    <s v="Full-Time"/>
    <s v="MGR102"/>
    <n v="690000"/>
    <n v="64000"/>
    <n v="754000"/>
    <n v="6"/>
    <n v="4.0999999999999996"/>
    <n v="96.4"/>
    <n v="2"/>
    <s v="Yes"/>
    <s v="Low"/>
    <s v="NA"/>
    <s v="Active"/>
    <s v="tara"/>
    <s v="desai"/>
    <s v="Tara Desai"/>
    <s v="TD098"/>
    <s v="HR"/>
    <n v="754000"/>
    <s v="Low"/>
    <s v="Female"/>
    <s v="Master"/>
    <x v="4"/>
    <x v="0"/>
    <s v="Not Eligible"/>
  </r>
  <r>
    <s v="EMP044"/>
    <d v="1991-09-30T00:00:00"/>
    <n v="33"/>
    <d v="2019-10-24T00:00:00"/>
    <s v="Referral"/>
    <s v="D_002"/>
    <s v="HRIS Specialist"/>
    <s v="Full-Time"/>
    <s v="MGR102"/>
    <n v="690000"/>
    <n v="62000"/>
    <n v="752000"/>
    <n v="9"/>
    <n v="4.0999999999999996"/>
    <n v="96.3"/>
    <n v="2"/>
    <s v="Yes"/>
    <s v="Low"/>
    <s v="NA"/>
    <s v="Active"/>
    <s v="priyanka"/>
    <s v="gupta"/>
    <s v="Priyanka Gupta"/>
    <s v="PG044"/>
    <s v="HR"/>
    <n v="752000"/>
    <s v="Low"/>
    <s v="Female"/>
    <s v="Master"/>
    <x v="2"/>
    <x v="0"/>
    <s v="Not Eligible"/>
  </r>
  <r>
    <s v="EMP012"/>
    <d v="1991-05-19T00:00:00"/>
    <n v="33"/>
    <d v="2019-04-10T00:00:00"/>
    <s v="Referral"/>
    <s v="D_005"/>
    <s v="Supply Chain Analyst"/>
    <s v="Full-Time"/>
    <s v="MGR105"/>
    <n v="690000"/>
    <n v="62000"/>
    <n v="752000"/>
    <n v="9"/>
    <n v="3.7"/>
    <n v="92.8"/>
    <n v="1"/>
    <s v="No"/>
    <s v="High"/>
    <s v="NA"/>
    <s v="Active"/>
    <s v="pooja"/>
    <s v="kapoor"/>
    <s v="Pooja Kapoor"/>
    <s v="PK012"/>
    <s v="Marketing"/>
    <n v="752000"/>
    <s v="Low"/>
    <s v="Female"/>
    <s v="Master"/>
    <x v="3"/>
    <x v="2"/>
    <s v="Not Eligible"/>
  </r>
  <r>
    <s v="EMP074"/>
    <d v="1994-06-07T00:00:00"/>
    <n v="30"/>
    <d v="2022-08-23T00:00:00"/>
    <s v="Freelance"/>
    <s v="D_001"/>
    <s v="Mobile App Developer"/>
    <s v="Full-Time"/>
    <s v="MGR101"/>
    <n v="680000"/>
    <n v="62000"/>
    <n v="742000"/>
    <n v="5"/>
    <n v="4"/>
    <n v="95.2"/>
    <n v="2"/>
    <s v="Yes"/>
    <s v="Low"/>
    <s v="NA"/>
    <s v="Active"/>
    <s v="jyoti"/>
    <s v="agarwal"/>
    <s v="Jyoti Agarwal"/>
    <s v="JA074"/>
    <s v="IT"/>
    <n v="742000"/>
    <s v="Low"/>
    <s v="Female"/>
    <s v="Bachelor"/>
    <x v="1"/>
    <x v="1"/>
    <s v="Not Eligible"/>
  </r>
  <r>
    <s v="EMP021"/>
    <d v="1989-02-13T00:00:00"/>
    <n v="35"/>
    <d v="2018-05-28T00:00:00"/>
    <s v="Referral"/>
    <s v="D_006"/>
    <s v="Accountant"/>
    <s v="Full-Time"/>
    <s v="MGR103"/>
    <n v="680000"/>
    <n v="60000"/>
    <n v="740000"/>
    <n v="11"/>
    <n v="3.8"/>
    <n v="93.9"/>
    <n v="1"/>
    <s v="No"/>
    <s v="Medium"/>
    <s v="NA"/>
    <s v="Active"/>
    <s v="rohit"/>
    <s v="agarwal"/>
    <s v="Rohit Agarwal"/>
    <s v="RA021"/>
    <s v="Finance"/>
    <n v="740000"/>
    <s v="Low"/>
    <s v="Male"/>
    <s v="Master"/>
    <x v="7"/>
    <x v="2"/>
    <s v="Not Eligible"/>
  </r>
  <r>
    <s v="EMP040"/>
    <d v="1992-12-16T00:00:00"/>
    <n v="32"/>
    <d v="2021-03-10T00:00:00"/>
    <s v="Job Portal"/>
    <s v="D_005"/>
    <s v="Procurement Specialist"/>
    <s v="Full-Time"/>
    <s v="MGR105"/>
    <n v="670000"/>
    <n v="60000"/>
    <n v="730000"/>
    <n v="7"/>
    <n v="3.9"/>
    <n v="95"/>
    <n v="1"/>
    <s v="Yes"/>
    <s v="Medium"/>
    <s v="NA"/>
    <s v="Active"/>
    <s v="madhuri"/>
    <s v="joshi"/>
    <s v="Madhuri Joshi"/>
    <s v="MJ040"/>
    <s v="Marketing"/>
    <n v="730000"/>
    <s v="Low"/>
    <s v="Female"/>
    <s v="Bachelor"/>
    <x v="5"/>
    <x v="0"/>
    <s v="Not Eligible"/>
  </r>
  <r>
    <s v="EMP084"/>
    <d v="1993-12-09T00:00:00"/>
    <n v="31"/>
    <d v="2022-04-15T00:00:00"/>
    <s v="Referral"/>
    <s v="D_004"/>
    <s v="Affiliate Marketing Manager"/>
    <s v="Full-Time"/>
    <s v="MGR104"/>
    <n v="650000"/>
    <n v="58000"/>
    <n v="708000"/>
    <n v="6"/>
    <n v="3.9"/>
    <n v="94.9"/>
    <n v="1"/>
    <s v="Yes"/>
    <s v="Medium"/>
    <s v="NA"/>
    <s v="Active"/>
    <s v="riya"/>
    <s v="jain"/>
    <s v="Riya Jain"/>
    <s v="RJ084"/>
    <s v="Admin"/>
    <n v="708000"/>
    <s v="Low"/>
    <s v="Female"/>
    <s v="Master"/>
    <x v="3"/>
    <x v="2"/>
    <s v="Not Eligible"/>
  </r>
  <r>
    <s v="EMP004"/>
    <d v="1992-09-05T00:00:00"/>
    <n v="32"/>
    <d v="2020-03-12T00:00:00"/>
    <s v="Job Portal"/>
    <s v="D_004"/>
    <s v="Marketing Executive"/>
    <s v="Full-Time"/>
    <s v="MGR104"/>
    <n v="650000"/>
    <n v="55000"/>
    <n v="705000"/>
    <n v="8"/>
    <n v="4"/>
    <n v="97.1"/>
    <n v="2"/>
    <s v="Yes"/>
    <s v="Low"/>
    <s v="NA"/>
    <s v="Active"/>
    <s v="sneha"/>
    <s v="reddy"/>
    <s v="Sneha Reddy"/>
    <s v="SR004"/>
    <s v="Admin"/>
    <n v="705000"/>
    <s v="Low"/>
    <s v="Female"/>
    <s v="Bachelor"/>
    <x v="5"/>
    <x v="0"/>
    <s v="Not Eligible"/>
  </r>
  <r>
    <s v="EMP070"/>
    <d v="1993-09-16T00:00:00"/>
    <n v="31"/>
    <d v="2021-12-14T00:00:00"/>
    <s v="Referral"/>
    <s v="D_002"/>
    <s v="Learning &amp; Development Specialist"/>
    <s v="Full-Time"/>
    <s v="MGR102"/>
    <n v="640000"/>
    <n v="58000"/>
    <n v="698000"/>
    <n v="6"/>
    <n v="4.0999999999999996"/>
    <n v="96.1"/>
    <n v="2"/>
    <s v="Yes"/>
    <s v="Low"/>
    <s v="NA"/>
    <s v="Active"/>
    <s v="smita"/>
    <s v="joshi"/>
    <s v="Smita Joshi"/>
    <s v="SJ070"/>
    <s v="HR"/>
    <n v="698000"/>
    <s v="Low"/>
    <s v="Female"/>
    <s v="Bachelor"/>
    <x v="7"/>
    <x v="2"/>
    <s v="Not Eligible"/>
  </r>
  <r>
    <s v="EMP020"/>
    <d v="1991-06-06T00:00:00"/>
    <n v="33"/>
    <d v="2019-11-19T00:00:00"/>
    <s v="LinkedIn"/>
    <s v="D_003"/>
    <s v="Sales Executive"/>
    <s v="Full-Time"/>
    <s v="MGR106"/>
    <n v="620000"/>
    <n v="58000"/>
    <n v="678000"/>
    <n v="8"/>
    <n v="3.9"/>
    <n v="94.7"/>
    <n v="1"/>
    <s v="Yes"/>
    <s v="Medium"/>
    <s v="NA"/>
    <s v="Active"/>
    <s v="divya"/>
    <s v="menon"/>
    <s v="Divya Menon"/>
    <s v="DM020"/>
    <s v="Sales"/>
    <n v="779700"/>
    <s v="Low"/>
    <s v="F"/>
    <s v="Master"/>
    <x v="2"/>
    <x v="0"/>
    <s v="Not Eligible"/>
  </r>
  <r>
    <s v="EMP026"/>
    <d v="1993-05-02T00:00:00"/>
    <n v="31"/>
    <d v="2021-07-14T00:00:00"/>
    <s v="Freelance"/>
    <s v="D_002"/>
    <s v="Compensation Analyst"/>
    <s v="Full-Time"/>
    <s v="MGR102"/>
    <n v="620000"/>
    <n v="55000"/>
    <n v="675000"/>
    <n v="6"/>
    <n v="3.9"/>
    <n v="94.5"/>
    <n v="1"/>
    <s v="Yes"/>
    <s v="Medium"/>
    <s v="NA"/>
    <s v="Active"/>
    <s v="nisha"/>
    <s v="yadav"/>
    <s v="Nisha Yadav"/>
    <s v="NY026"/>
    <s v="HR"/>
    <n v="675000"/>
    <s v="Low"/>
    <s v="Female"/>
    <s v="Master"/>
    <x v="1"/>
    <x v="1"/>
    <s v="Not Eligible"/>
  </r>
  <r>
    <s v="EMP100"/>
    <d v="1995-03-27T00:00:00"/>
    <n v="29"/>
    <d v="2023-01-24T00:00:00"/>
    <s v="Referral"/>
    <s v="D_001"/>
    <s v="Frontend Developer"/>
    <s v="Full-Time"/>
    <s v="MGR101"/>
    <n v="620000"/>
    <n v="55000"/>
    <n v="675000"/>
    <n v="4"/>
    <n v="3.9"/>
    <n v="94.3"/>
    <n v="2"/>
    <s v="Yes"/>
    <s v="Medium"/>
    <s v="NA"/>
    <s v="Active"/>
    <s v="prachi"/>
    <s v="kulkarni"/>
    <s v="Prachi Kulkarni"/>
    <s v="PK100"/>
    <s v="IT"/>
    <n v="675000"/>
    <s v="Low"/>
    <s v="Female"/>
    <s v="Master"/>
    <x v="7"/>
    <x v="2"/>
    <s v="Not Eligible"/>
  </r>
  <r>
    <s v="EMP062"/>
    <d v="1993-04-09T00:00:00"/>
    <n v="31"/>
    <d v="2022-01-24T00:00:00"/>
    <s v="Job Portal"/>
    <s v="D_002"/>
    <s v="Benefits Administrator"/>
    <s v="Full-Time"/>
    <s v="MGR102"/>
    <n v="590000"/>
    <n v="52000"/>
    <n v="642000"/>
    <n v="6"/>
    <n v="3.9"/>
    <n v="94.6"/>
    <n v="1"/>
    <s v="Yes"/>
    <s v="Medium"/>
    <s v="NA"/>
    <s v="Active"/>
    <s v="poornima"/>
    <s v="rao"/>
    <s v="Poornima Rao"/>
    <s v="PR062"/>
    <s v="HR"/>
    <n v="642000"/>
    <s v="Low"/>
    <s v="Female"/>
    <s v="Bachelor"/>
    <x v="2"/>
    <x v="0"/>
    <s v="Not Eligible"/>
  </r>
  <r>
    <s v="EMP022"/>
    <d v="1994-10-24T00:00:00"/>
    <n v="30"/>
    <d v="2022-09-16T00:00:00"/>
    <s v="Job Portal"/>
    <s v="D_001"/>
    <s v="QA Engineer"/>
    <s v="Full-Time"/>
    <s v="MGR101"/>
    <n v="590000"/>
    <n v="52000"/>
    <n v="642000"/>
    <n v="5"/>
    <n v="4"/>
    <n v="95.3"/>
    <n v="2"/>
    <s v="Yes"/>
    <s v="Low"/>
    <s v="NA"/>
    <s v="Active"/>
    <s v="swati"/>
    <s v="kulkarni"/>
    <s v="Swati Kulkarni"/>
    <s v="SK022"/>
    <s v="IT"/>
    <n v="642000"/>
    <s v="Low"/>
    <s v="Female"/>
    <s v="Bachelor"/>
    <x v="3"/>
    <x v="2"/>
    <s v="Not Eligible"/>
  </r>
  <r>
    <s v="EMP056"/>
    <d v="1992-01-17T00:00:00"/>
    <n v="32"/>
    <d v="2020-07-28T00:00:00"/>
    <s v="Referral"/>
    <s v="D_003"/>
    <s v="Sales Coordinator"/>
    <s v="Full-Time"/>
    <s v="MGR106"/>
    <n v="580000"/>
    <n v="52000"/>
    <n v="632000"/>
    <n v="8"/>
    <n v="3.8"/>
    <n v="93.9"/>
    <n v="1"/>
    <s v="Yes"/>
    <s v="Medium"/>
    <s v="NA"/>
    <s v="Active"/>
    <s v="ananya"/>
    <s v="desai"/>
    <s v="Ananya Desai"/>
    <s v="AD056"/>
    <s v="Sales"/>
    <n v="726800"/>
    <s v="Low"/>
    <s v="Female"/>
    <s v="Master"/>
    <x v="2"/>
    <x v="0"/>
    <s v="Not Eligible"/>
  </r>
  <r>
    <s v="EMP016"/>
    <d v="1992-12-21T00:00:00"/>
    <n v="32"/>
    <d v="2020-06-18T00:00:00"/>
    <s v="Freelance"/>
    <s v="D_002"/>
    <s v="Training Coordinator"/>
    <s v="Full-Time"/>
    <s v="MGR102"/>
    <n v="580000"/>
    <n v="50000"/>
    <n v="630000"/>
    <n v="7"/>
    <n v="4.0999999999999996"/>
    <n v="97.5"/>
    <n v="2"/>
    <s v="Yes"/>
    <s v="Low"/>
    <s v="NA"/>
    <s v="Active"/>
    <s v="ritu"/>
    <s v="saxena"/>
    <s v="Ritu Saxena"/>
    <s v="RS016"/>
    <s v="HR"/>
    <n v="630000"/>
    <s v="Low"/>
    <s v="F"/>
    <s v="Bachelor"/>
    <x v="7"/>
    <x v="2"/>
    <s v="Not Eligible"/>
  </r>
  <r>
    <s v="EMP042"/>
    <d v="1994-08-07T00:00:00"/>
    <n v="30"/>
    <d v="2022-06-29T00:00:00"/>
    <s v="Job Portal"/>
    <s v="D_004"/>
    <s v="Market Research Analyst"/>
    <s v="Full-Time"/>
    <s v="MGR104"/>
    <n v="580000"/>
    <n v="50000"/>
    <n v="630000"/>
    <n v="5"/>
    <n v="4"/>
    <n v="95.5"/>
    <n v="1"/>
    <s v="Yes"/>
    <s v="Low"/>
    <s v="NA"/>
    <s v="Active"/>
    <s v="sonali"/>
    <s v="patil"/>
    <s v="Sonali Patil"/>
    <s v="SP042"/>
    <s v="Admin"/>
    <n v="630000"/>
    <s v="Low"/>
    <s v="Female"/>
    <s v="Bachelor"/>
    <x v="3"/>
    <x v="2"/>
    <s v="Not Eligible"/>
  </r>
  <r>
    <s v="EMP010"/>
    <d v="1994-10-12T00:00:00"/>
    <n v="30"/>
    <d v="2022-08-20T00:00:00"/>
    <s v="Job Portal"/>
    <s v="D_004"/>
    <s v="Digital Marketing Specialist"/>
    <s v="Full-Time"/>
    <s v="MGR104"/>
    <n v="580000"/>
    <n v="48000"/>
    <n v="628000"/>
    <n v="5"/>
    <n v="4"/>
    <n v="96.2"/>
    <n v="2"/>
    <s v="Yes"/>
    <s v="Low"/>
    <s v="NA"/>
    <s v="Active"/>
    <s v="deepa"/>
    <s v="iyer"/>
    <s v="Deepa Iyer"/>
    <s v="DI010"/>
    <s v="Admin"/>
    <n v="628000"/>
    <s v="Low"/>
    <s v="Female"/>
    <s v="Master"/>
    <x v="7"/>
    <x v="2"/>
    <s v="Not Eligible"/>
  </r>
  <r>
    <s v="EMP054"/>
    <d v="1994-04-23T00:00:00"/>
    <n v="30"/>
    <d v="2022-09-25T00:00:00"/>
    <s v="Referral"/>
    <s v="D_004"/>
    <s v="SEO Specialist"/>
    <s v="Full-Time"/>
    <s v="MGR104"/>
    <n v="560000"/>
    <n v="48000"/>
    <n v="608000"/>
    <n v="5"/>
    <n v="3.9"/>
    <n v="94.2"/>
    <n v="2"/>
    <s v="Yes"/>
    <s v="Medium"/>
    <s v="NA"/>
    <s v="Active"/>
    <s v="seema"/>
    <s v="chopra"/>
    <s v="Seema Chopra"/>
    <s v="SC054"/>
    <s v="Admin"/>
    <n v="608000"/>
    <s v="Low"/>
    <s v="Female"/>
    <s v="Bachelor"/>
    <x v="3"/>
    <x v="2"/>
    <s v="Not Eligible"/>
  </r>
  <r>
    <s v="EMP034"/>
    <d v="1994-01-05T00:00:00"/>
    <n v="30"/>
    <d v="2022-08-27T00:00:00"/>
    <s v="Job Portal"/>
    <s v="D_002"/>
    <s v="Employee Relations Specialist"/>
    <s v="Full-Time"/>
    <s v="MGR102"/>
    <n v="560000"/>
    <n v="48000"/>
    <n v="608000"/>
    <n v="5"/>
    <n v="3.9"/>
    <n v="94.8"/>
    <n v="1"/>
    <s v="Yes"/>
    <s v="Medium"/>
    <s v="NA"/>
    <s v="Active"/>
    <s v="isha"/>
    <s v="khanna"/>
    <s v="Isha Khanna"/>
    <s v="IK034"/>
    <s v="HR"/>
    <n v="608000"/>
    <s v="Low"/>
    <s v="Female"/>
    <s v="Bachelor"/>
    <x v="1"/>
    <x v="1"/>
    <s v="Not Eligible"/>
  </r>
  <r>
    <s v="EMP066"/>
    <d v="1994-05-28T00:00:00"/>
    <n v="30"/>
    <d v="2022-07-21T00:00:00"/>
    <s v="Freelance"/>
    <s v="D_004"/>
    <s v="Graphic Designer"/>
    <s v="Full-Time"/>
    <s v="MGR104"/>
    <n v="550000"/>
    <n v="46000"/>
    <n v="596000"/>
    <n v="5"/>
    <n v="3.8"/>
    <n v="93.8"/>
    <n v="1"/>
    <s v="Yes"/>
    <s v="Medium"/>
    <s v="NA"/>
    <s v="Active"/>
    <s v="lakshmi"/>
    <s v="menon"/>
    <s v="Lakshmi Menon"/>
    <s v="LM066"/>
    <s v="Admin"/>
    <n v="596000"/>
    <s v="Low"/>
    <s v="Female"/>
    <s v="Bachelor"/>
    <x v="4"/>
    <x v="0"/>
    <s v="Not Eligible"/>
  </r>
  <r>
    <s v="EMP030"/>
    <d v="1995-08-20T00:00:00"/>
    <n v="29"/>
    <d v="2023-02-12T00:00:00"/>
    <s v="LinkedIn"/>
    <s v="D_004"/>
    <s v="Social Media Manager"/>
    <s v="Full-Time"/>
    <s v="MGR104"/>
    <n v="550000"/>
    <n v="45000"/>
    <n v="595000"/>
    <n v="4"/>
    <n v="3.8"/>
    <n v="93.2"/>
    <n v="1"/>
    <s v="Yes"/>
    <s v="Medium"/>
    <s v="NA"/>
    <s v="Active"/>
    <s v="shweta"/>
    <s v="bhatt"/>
    <s v="Shweta Bhatt"/>
    <s v="SB030"/>
    <s v="Admin"/>
    <n v="595000"/>
    <s v="Low"/>
    <s v="Female"/>
    <s v="Education_Level"/>
    <x v="6"/>
    <x v="1"/>
    <s v="Not Eligible"/>
  </r>
  <r>
    <s v="EMP046"/>
    <d v="1995-06-25T00:00:00"/>
    <n v="29"/>
    <d v="2023-01-13T00:00:00"/>
    <s v="Campus"/>
    <s v="D_001"/>
    <s v="UI/UX Designer"/>
    <s v="Full-Time"/>
    <s v="MGR101"/>
    <n v="540000"/>
    <n v="42000"/>
    <n v="582000"/>
    <n v="4"/>
    <n v="3.8"/>
    <n v="93.7"/>
    <n v="1"/>
    <s v="Yes"/>
    <s v="Medium"/>
    <s v="NA"/>
    <s v="Active"/>
    <s v="shruti"/>
    <s v="rao"/>
    <s v="Shruti Rao"/>
    <s v="SR046"/>
    <s v="IT"/>
    <n v="582000"/>
    <s v="Low"/>
    <s v="Female"/>
    <s v="Master"/>
    <x v="6"/>
    <x v="1"/>
    <s v="Not Eligible"/>
  </r>
  <r>
    <s v="EMP072"/>
    <d v="1992-08-11T00:00:00"/>
    <n v="32"/>
    <d v="2020-05-19T00:00:00"/>
    <s v="LinkedIn"/>
    <s v="D_004"/>
    <s v="Event Manager"/>
    <s v="Contract"/>
    <s v="MGR104"/>
    <n v="520000"/>
    <n v="42000"/>
    <n v="562000"/>
    <n v="7"/>
    <n v="3.7"/>
    <n v="92.7"/>
    <n v="1"/>
    <s v="No"/>
    <s v="High"/>
    <s v="NA"/>
    <s v="Active"/>
    <s v="vidya"/>
    <s v="mishra"/>
    <s v="Vidya Mishra"/>
    <s v="VM072"/>
    <s v="Admin"/>
    <n v="562000"/>
    <s v="Low"/>
    <s v="Female"/>
    <s v="Master"/>
    <x v="3"/>
    <x v="2"/>
    <s v="Not Eligible"/>
  </r>
  <r>
    <s v="EMP014"/>
    <d v="1995-03-16T00:00:00"/>
    <n v="29"/>
    <d v="2023-01-14T00:00:00"/>
    <s v="LinkedIn"/>
    <s v="D_001"/>
    <s v="Junior Developer"/>
    <s v="Full-Time"/>
    <s v="MGR101"/>
    <n v="520000"/>
    <n v="40000"/>
    <n v="560000"/>
    <n v="4"/>
    <n v="3.8"/>
    <n v="94"/>
    <n v="1"/>
    <s v="Yes"/>
    <s v="Medium"/>
    <s v="NA"/>
    <s v="Active"/>
    <s v="neha"/>
    <s v="verma"/>
    <s v="Neha Verma"/>
    <s v="NV014"/>
    <s v="IT"/>
    <n v="560000"/>
    <s v="Low"/>
    <s v="Female"/>
    <s v="Master"/>
    <x v="2"/>
    <x v="0"/>
    <s v="Not Eligi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MP075"/>
    <d v="1985-10-19T00:00:00"/>
    <n v="39"/>
    <d v="2014-12-10T00:00:00"/>
    <s v="Referral"/>
    <s v="D_006"/>
    <x v="0"/>
    <s v="Full-Time"/>
    <s v="MGR103"/>
    <n v="1450000"/>
    <n v="165000"/>
    <n v="1615000"/>
    <n v="19"/>
    <n v="4.8"/>
    <n v="99.1"/>
    <n v="4"/>
    <s v="No"/>
    <s v="Low"/>
    <n v="43819"/>
    <s v="Active"/>
    <s v="vinay"/>
    <s v="reddy"/>
    <s v="Vinay Reddy"/>
    <s v="VR075"/>
    <x v="0"/>
    <n v="1615000"/>
    <s v="High"/>
    <s v="Male"/>
    <s v="Bachelor"/>
    <s v="Chennaaaa"/>
    <s v="South"/>
    <s v="Eligible"/>
  </r>
  <r>
    <s v="EMP019"/>
    <d v="1985-09-11T00:00:00"/>
    <n v="39"/>
    <d v="2015-03-07T00:00:00"/>
    <s v="Job Portal"/>
    <s v="D_001"/>
    <x v="1"/>
    <s v="Full-Time"/>
    <s v="MGR101"/>
    <n v="1450000"/>
    <n v="165000"/>
    <n v="1615000"/>
    <n v="17"/>
    <n v="4.8"/>
    <n v="99.2"/>
    <n v="5"/>
    <s v="No"/>
    <s v="Low"/>
    <n v="43905"/>
    <s v="Active"/>
    <s v="anil"/>
    <s v="chopra"/>
    <s v="Anil Chopra"/>
    <s v="AC019"/>
    <x v="1"/>
    <n v="1615000"/>
    <s v="High"/>
    <s v="Male"/>
    <s v="Master"/>
    <s v="Noida"/>
    <s v="North"/>
    <s v="Eligible"/>
  </r>
  <r>
    <s v="EMP097"/>
    <d v="1986-02-19T00:00:00"/>
    <m/>
    <d v="2015-05-13T00:00:00"/>
    <s v="Referral"/>
    <s v="D_003"/>
    <x v="2"/>
    <s v="Full-Time"/>
    <s v="MGR106"/>
    <n v="1380000"/>
    <n v="158000"/>
    <n v="1538000"/>
    <n v="18"/>
    <n v="4.8"/>
    <n v="99"/>
    <n v="4"/>
    <s v="No"/>
    <s v="Low"/>
    <n v="43971"/>
    <s v="Active"/>
    <s v="rohit"/>
    <s v="agarwal"/>
    <s v="Rohit Agarwal"/>
    <s v="RA097"/>
    <x v="2"/>
    <n v="1768700"/>
    <s v="High"/>
    <s v="Male"/>
    <s v="Master"/>
    <s v="Bangalore"/>
    <s v="South"/>
    <s v="Eligible"/>
  </r>
  <r>
    <s v="EMP005"/>
    <d v="1987-12-18T00:00:00"/>
    <n v="37"/>
    <d v="2016-07-08T00:00:00"/>
    <s v="Campus"/>
    <s v="D_005"/>
    <x v="3"/>
    <s v="Full-Time"/>
    <s v="MGR105"/>
    <n v="1100000"/>
    <n v="120000"/>
    <n v="1220000"/>
    <n v="15"/>
    <n v="4.7"/>
    <n v="99"/>
    <n v="4"/>
    <s v="No"/>
    <s v="Low"/>
    <n v="44397"/>
    <s v="Active"/>
    <s v="vikram"/>
    <s v="singh"/>
    <s v="Vikram Singh"/>
    <s v="VS005"/>
    <x v="3"/>
    <n v="1220000"/>
    <s v="High"/>
    <s v="Male"/>
    <s v="Bachelor"/>
    <s v="Pune"/>
    <s v="West"/>
    <s v="Eligible"/>
  </r>
  <r>
    <s v="EMP047"/>
    <d v="1985-11-04T00:00:00"/>
    <n v="39"/>
    <d v="2015-04-21T00:00:00"/>
    <s v="LinkedIn"/>
    <s v="D_005"/>
    <x v="4"/>
    <s v="Full-Time"/>
    <s v="MGR105"/>
    <n v="1080000"/>
    <n v="115000"/>
    <n v="1195000"/>
    <n v="18"/>
    <n v="4.5999999999999996"/>
    <n v="98.6"/>
    <n v="4"/>
    <s v="No"/>
    <s v="Low"/>
    <n v="43931"/>
    <s v="Active"/>
    <s v="rajeev"/>
    <s v="bose"/>
    <s v="Rajeev Bose"/>
    <s v="RB047"/>
    <x v="3"/>
    <n v="1195000"/>
    <s v="High"/>
    <s v="Male"/>
    <s v="Bachelor"/>
    <s v="Pune"/>
    <s v="West"/>
    <s v="Eligible"/>
  </r>
  <r>
    <s v="EMP041"/>
    <d v="1990-05-22T00:00:00"/>
    <n v="34"/>
    <d v="2018-11-15T00:00:00"/>
    <s v="Freelance"/>
    <s v="D_001"/>
    <x v="5"/>
    <s v="Full-Time"/>
    <s v="MGR101"/>
    <n v="1050000"/>
    <n v="110000"/>
    <n v="1160000"/>
    <n v="11"/>
    <n v="4.7"/>
    <n v="98.9"/>
    <n v="5"/>
    <s v="Yes"/>
    <s v="Low"/>
    <n v="44885"/>
    <s v="Active"/>
    <s v="varun"/>
    <s v="kapoor"/>
    <s v="Varun Kapoor"/>
    <s v="VK041"/>
    <x v="1"/>
    <n v="1160000"/>
    <s v="High"/>
    <s v="Male"/>
    <s v="Bachelor"/>
    <s v="Noida"/>
    <s v="North"/>
    <s v="Eligible"/>
  </r>
  <r>
    <s v="EMP009"/>
    <d v="1986-08-30T00:00:00"/>
    <n v="38"/>
    <d v="2015-02-05T00:00:00"/>
    <s v="Referral"/>
    <s v="D_006"/>
    <x v="6"/>
    <s v="Full-Time"/>
    <s v="MGR103"/>
    <n v="1050000"/>
    <n v="105000"/>
    <n v="1155000"/>
    <n v="16"/>
    <n v="4.5999999999999996"/>
    <n v="98.5"/>
    <n v="3"/>
    <s v="No"/>
    <s v="Low"/>
    <n v="43871"/>
    <s v="Active"/>
    <s v="suresh"/>
    <s v="nair"/>
    <s v="Suresh Nair"/>
    <s v="SN009"/>
    <x v="0"/>
    <n v="1155000"/>
    <s v="High"/>
    <s v="Male"/>
    <s v="Master"/>
    <s v="Chennai"/>
    <s v="South"/>
    <s v="Eligible"/>
  </r>
  <r>
    <s v="EMP079"/>
    <d v="1989-01-08T00:00:00"/>
    <n v="35"/>
    <d v="2018-08-17T00:00:00"/>
    <s v="Job Portal"/>
    <s v="D_003"/>
    <x v="7"/>
    <s v="Full-Time"/>
    <s v="MGR106"/>
    <n v="1020000"/>
    <n v="125000"/>
    <n v="1145000"/>
    <n v="12"/>
    <n v="4.7"/>
    <n v="98.6"/>
    <n v="3"/>
    <s v="Yes"/>
    <s v="Low"/>
    <n v="45163"/>
    <s v="Active"/>
    <s v="nikhil"/>
    <s v="chopra"/>
    <s v="Nikhil Chopra"/>
    <s v="NC079"/>
    <x v="2"/>
    <n v="1316750"/>
    <s v="High"/>
    <s v="Male"/>
    <s v="Master"/>
    <s v="Hyderabad"/>
    <s v="South"/>
    <s v="Eligible"/>
  </r>
  <r>
    <s v="EMP051"/>
    <d v="1986-05-05T00:00:00"/>
    <n v="38"/>
    <d v="2016-01-14T00:00:00"/>
    <s v="Freelance"/>
    <s v="D_006"/>
    <x v="8"/>
    <s v="Full-Time"/>
    <s v="MGR103"/>
    <n v="980000"/>
    <n v="98000"/>
    <n v="1078000"/>
    <n v="16"/>
    <n v="4.5"/>
    <n v="98.2"/>
    <n v="3"/>
    <s v="No"/>
    <s v="Low"/>
    <n v="44216"/>
    <s v="Active"/>
    <s v="ramesh"/>
    <s v="pillai"/>
    <s v="Ramesh Pillai"/>
    <s v="RP051"/>
    <x v="0"/>
    <n v="1078000"/>
    <s v="High"/>
    <s v="Male"/>
    <s v="Master"/>
    <s v="Chennai"/>
    <s v="South"/>
    <s v="Eligible"/>
  </r>
  <r>
    <s v="EMP077"/>
    <d v="1988-05-13T00:00:00"/>
    <n v="36"/>
    <d v="2017-11-14T00:00:00"/>
    <s v="LinkedIn"/>
    <s v="D_001"/>
    <x v="9"/>
    <s v="Full-Time"/>
    <s v="MGR101"/>
    <n v="980000"/>
    <n v="98000"/>
    <n v="1078000"/>
    <n v="13"/>
    <n v="4.5999999999999996"/>
    <n v="98.4"/>
    <n v="4"/>
    <s v="Yes"/>
    <s v="Low"/>
    <n v="44885"/>
    <s v="Active"/>
    <s v="rajat"/>
    <s v="verma"/>
    <s v="Rajat Verma"/>
    <s v="RV077"/>
    <x v="1"/>
    <n v="1078000"/>
    <s v="High"/>
    <s v="Male"/>
    <s v="Master"/>
    <s v="Delhi"/>
    <s v="North"/>
    <s v="Eligible"/>
  </r>
  <r>
    <s v="EMP025"/>
    <d v="1990-11-29T00:00:00"/>
    <n v="34"/>
    <d v="2019-03-20T00:00:00"/>
    <s v="Job Portal"/>
    <s v="D_003"/>
    <x v="10"/>
    <s v="Full-Time"/>
    <s v="MGR106"/>
    <n v="950000"/>
    <n v="115000"/>
    <n v="1065000"/>
    <n v="10"/>
    <n v="4.5"/>
    <n v="97.8"/>
    <n v="2"/>
    <s v="Yes"/>
    <s v="Low"/>
    <n v="44995"/>
    <s v="Active"/>
    <s v="gaurav"/>
    <s v="pandey"/>
    <s v="Gaurav Pandey"/>
    <s v="GP025"/>
    <x v="2"/>
    <n v="1224750"/>
    <s v="High"/>
    <s v="Male"/>
    <s v="Master"/>
    <s v="Hyderabad"/>
    <s v="South"/>
    <s v="Not Eligible"/>
  </r>
  <r>
    <s v="EMP061"/>
    <d v="1988-12-27T00:00:00"/>
    <n v="36"/>
    <d v="2017-08-07T00:00:00"/>
    <s v="Referral"/>
    <s v="D_003"/>
    <x v="11"/>
    <s v="Full-Time"/>
    <s v="MGR106"/>
    <n v="940000"/>
    <n v="112000"/>
    <n v="1052000"/>
    <n v="13"/>
    <n v="4.5"/>
    <n v="98.1"/>
    <n v="3"/>
    <s v="Yes"/>
    <s v="Low"/>
    <n v="44788"/>
    <s v="Active"/>
    <s v="siddharth"/>
    <s v="mehta"/>
    <s v="Siddharth Mehta"/>
    <s v="SM061"/>
    <x v="2"/>
    <n v="1209800"/>
    <s v="High"/>
    <s v="Male"/>
    <s v="Bachelor"/>
    <s v="Delhi"/>
    <s v="North"/>
    <s v="Eligible"/>
  </r>
  <r>
    <s v="EMP002"/>
    <d v="1990-07-22T00:00:00"/>
    <n v="34"/>
    <d v="2019-06-15T00:00:00"/>
    <s v="LinkedIn"/>
    <s v="D_002"/>
    <x v="12"/>
    <s v="Full-Time"/>
    <s v="MGR102"/>
    <n v="950000"/>
    <n v="95000"/>
    <n v="1045000"/>
    <n v="10"/>
    <n v="4.3"/>
    <n v="98.2"/>
    <n v="2"/>
    <s v="Yes"/>
    <s v="Low"/>
    <n v="45087"/>
    <s v="Active"/>
    <s v="priya"/>
    <s v="sharma"/>
    <s v="Priya Sharma"/>
    <s v="PS002"/>
    <x v="4"/>
    <n v="1045000"/>
    <s v="High"/>
    <s v="Female"/>
    <s v="Bachelor"/>
    <s v="Delhi"/>
    <s v="North"/>
    <s v="Not Eligible"/>
  </r>
  <r>
    <s v="EMP092"/>
    <d v="1993-07-18T00:00:00"/>
    <n v="31"/>
    <d v="2021-09-23T00:00:00"/>
    <s v="Job Portal"/>
    <s v="D_001"/>
    <x v="13"/>
    <s v="Full-Time"/>
    <s v="MGR101"/>
    <n v="950000"/>
    <n v="95000"/>
    <n v="1045000"/>
    <n v="6"/>
    <n v="4.5999999999999996"/>
    <n v="98.3"/>
    <n v="4"/>
    <s v="Yes"/>
    <s v="Low"/>
    <s v="NA"/>
    <s v="Active"/>
    <s v="kavita"/>
    <s v="pillai"/>
    <s v="Kavita Pillai"/>
    <s v="KP092"/>
    <x v="1"/>
    <n v="1045000"/>
    <s v="High"/>
    <s v="Female"/>
    <s v="Bachelor"/>
    <s v="Bangalore"/>
    <s v="South"/>
    <s v="Not Eligible"/>
  </r>
  <r>
    <s v="EMP036"/>
    <d v="1991-09-09T00:00:00"/>
    <n v="33"/>
    <d v="2020-01-21T00:00:00"/>
    <s v="Referral"/>
    <s v="D_004"/>
    <x v="14"/>
    <s v="Full-Time"/>
    <s v="MGR104"/>
    <n v="920000"/>
    <n v="95000"/>
    <n v="1015000"/>
    <n v="9"/>
    <n v="4.5999999999999996"/>
    <n v="98.7"/>
    <n v="3"/>
    <s v="Yes"/>
    <s v="Low"/>
    <s v="NA"/>
    <s v="Active"/>
    <s v="pallavi"/>
    <s v="nambiar"/>
    <s v="Pallavi Nambiar"/>
    <s v="PN036"/>
    <x v="5"/>
    <n v="1015000"/>
    <s v="High"/>
    <s v="Female"/>
    <s v="Bachelor"/>
    <s v="Pune"/>
    <s v="West"/>
    <s v="Eligible"/>
  </r>
  <r>
    <s v="EMP011"/>
    <d v="1984-01-03T00:00:00"/>
    <n v="40"/>
    <d v="2014-12-15T00:00:00"/>
    <s v="Freelance"/>
    <s v="D_001"/>
    <x v="15"/>
    <s v="Full-Time"/>
    <s v="MGR101"/>
    <n v="920000"/>
    <n v="92000"/>
    <n v="1012000"/>
    <n v="18"/>
    <n v="4.4000000000000004"/>
    <n v="97.3"/>
    <n v="4"/>
    <s v="No"/>
    <s v="Low"/>
    <n v="43819"/>
    <s v="Active"/>
    <s v="manoj"/>
    <s v="gupta"/>
    <s v="Manoj Gupta"/>
    <s v="MG011"/>
    <x v="1"/>
    <n v="1012000"/>
    <s v="High"/>
    <s v="Male"/>
    <s v="Bachelor"/>
    <s v="Noida"/>
    <s v="North"/>
    <s v="Eligible"/>
  </r>
  <r>
    <s v="EMP059"/>
    <d v="1986-03-08T00:00:00"/>
    <n v="38"/>
    <d v="2015-10-23T00:00:00"/>
    <s v="Job Portal"/>
    <s v="D_005"/>
    <x v="16"/>
    <s v="Full-Time"/>
    <s v="MGR105"/>
    <n v="920000"/>
    <n v="92000"/>
    <n v="1012000"/>
    <n v="17"/>
    <n v="4.4000000000000004"/>
    <n v="97.9"/>
    <n v="3"/>
    <s v="No"/>
    <s v="Low"/>
    <n v="44119"/>
    <s v="Active"/>
    <s v="alok"/>
    <s v="sinha"/>
    <s v="Alok Sinha"/>
    <s v="AS059"/>
    <x v="3"/>
    <n v="1012000"/>
    <s v="High"/>
    <s v="Male"/>
    <s v="Master"/>
    <s v="Chennai"/>
    <s v="South"/>
    <s v="Eligible"/>
  </r>
  <r>
    <s v="EMP093"/>
    <d v="1987-10-30T00:00:00"/>
    <n v="37"/>
    <d v="2016-06-10T00:00:00"/>
    <s v="Freelance"/>
    <s v="D_006"/>
    <x v="17"/>
    <s v="Full-Time"/>
    <s v="MGR103"/>
    <n v="920000"/>
    <n v="92000"/>
    <n v="1012000"/>
    <n v="15"/>
    <n v="4.5"/>
    <n v="98"/>
    <n v="3"/>
    <s v="Yes"/>
    <s v="Low"/>
    <n v="44367"/>
    <s v="Active"/>
    <s v="dinesh"/>
    <s v="reddy"/>
    <s v="Dinesh Reddy"/>
    <s v="DR093"/>
    <x v="0"/>
    <n v="1012000"/>
    <s v="High"/>
    <s v="Male"/>
    <s v="Master"/>
    <s v="Delhi"/>
    <s v="North"/>
    <s v="Eligible"/>
  </r>
  <r>
    <s v="EMP096"/>
    <d v="1991-12-07T00:00:00"/>
    <n v="33"/>
    <d v="2019-10-20T00:00:00"/>
    <s v="Freelance"/>
    <s v="D_001"/>
    <x v="18"/>
    <s v="Full-Time"/>
    <s v="MGR101"/>
    <n v="920000"/>
    <n v="92000"/>
    <n v="1012000"/>
    <n v="9"/>
    <n v="4.5"/>
    <n v="98.1"/>
    <n v="4"/>
    <s v="Yes"/>
    <s v="Low"/>
    <n v="45214"/>
    <s v="Active"/>
    <s v="anjana"/>
    <s v="nair"/>
    <s v="Anjana Nair"/>
    <s v="AN096"/>
    <x v="1"/>
    <n v="1012000"/>
    <s v="High"/>
    <s v="Female"/>
    <s v="Master"/>
    <s v="Noida"/>
    <s v="North"/>
    <s v="Eligible"/>
  </r>
  <r>
    <s v="EMP082"/>
    <d v="1994-07-15T00:00:00"/>
    <n v="30"/>
    <d v="2022-10-28T00:00:00"/>
    <s v="Job Portal"/>
    <s v="D_001"/>
    <x v="19"/>
    <s v="Full-Time"/>
    <s v="MGR101"/>
    <n v="920000"/>
    <n v="92000"/>
    <n v="1012000"/>
    <n v="5"/>
    <n v="4.5"/>
    <n v="97.8"/>
    <n v="3"/>
    <s v="Yes"/>
    <s v="Low"/>
    <s v="NA"/>
    <s v="Active"/>
    <s v="namita"/>
    <s v="rao"/>
    <s v="Namita Rao"/>
    <s v="NR082"/>
    <x v="1"/>
    <n v="1012000"/>
    <s v="High"/>
    <s v="Female"/>
    <s v="Master"/>
    <s v="Noida"/>
    <s v="North"/>
    <s v="Not Eligible"/>
  </r>
  <r>
    <s v="EMP049"/>
    <d v="1988-02-26T00:00:00"/>
    <n v="36"/>
    <d v="2016-09-09T00:00:00"/>
    <s v="Freelance"/>
    <s v="D_003"/>
    <x v="20"/>
    <s v="Full-Time"/>
    <s v="MGR106"/>
    <n v="890000"/>
    <n v="105000"/>
    <n v="995000"/>
    <n v="14"/>
    <n v="4.4000000000000004"/>
    <n v="97.5"/>
    <n v="3"/>
    <s v="Yes"/>
    <s v="Low"/>
    <n v="44459"/>
    <s v="Active"/>
    <s v="sunil"/>
    <s v="agarwal"/>
    <s v="Sunil Agarwal"/>
    <s v="SA049"/>
    <x v="2"/>
    <n v="1144250"/>
    <s v="Medium"/>
    <s v="Male"/>
    <s v="Bachelor"/>
    <s v="Bangalore"/>
    <s v="South"/>
    <s v="Eligible"/>
  </r>
  <r>
    <s v="EMP007"/>
    <d v="1989-06-14T00:00:00"/>
    <n v="35"/>
    <d v="2018-11-30T00:00:00"/>
    <s v="Job Portal"/>
    <s v="D_003"/>
    <x v="21"/>
    <s v="Full-Time"/>
    <s v="MGR106"/>
    <n v="880000"/>
    <n v="110000"/>
    <n v="990000"/>
    <n v="11"/>
    <n v="4.3"/>
    <n v="96.7"/>
    <n v="1"/>
    <s v="Yes"/>
    <s v="Medium"/>
    <n v="44880"/>
    <s v="Active"/>
    <s v="rahul"/>
    <s v="mehta"/>
    <s v="Rahul Mehta"/>
    <s v="RM007"/>
    <x v="2"/>
    <n v="1138500"/>
    <s v="Medium"/>
    <s v="Male"/>
    <s v="Bachelor"/>
    <s v="Delhi"/>
    <s v="North"/>
    <s v="Not Eligible"/>
  </r>
  <r>
    <s v="EMP099"/>
    <d v="1988-06-14T00:00:00"/>
    <n v="36"/>
    <d v="2017-11-09T00:00:00"/>
    <s v="Referral"/>
    <s v="D_006"/>
    <x v="22"/>
    <s v="Full-Time"/>
    <s v="MGR103"/>
    <n v="890000"/>
    <n v="88000"/>
    <n v="978000"/>
    <n v="13"/>
    <n v="4.4000000000000004"/>
    <n v="97.6"/>
    <n v="3"/>
    <s v="Yes"/>
    <s v="Low"/>
    <n v="44885"/>
    <s v="Active"/>
    <s v="vikas"/>
    <s v="sharma"/>
    <s v="Vikas Sharma"/>
    <s v="VS099"/>
    <x v="0"/>
    <n v="978000"/>
    <s v="Medium"/>
    <s v="Male"/>
    <s v="Master"/>
    <s v="Pune"/>
    <s v="West"/>
    <s v="Eligible"/>
  </r>
  <r>
    <s v="EMP029"/>
    <d v="1988-12-08T00:00:00"/>
    <m/>
    <d v="2017-06-17T00:00:00"/>
    <s v="LinkedIn"/>
    <s v="D_005"/>
    <x v="23"/>
    <s v="Full-Time"/>
    <s v="MGR105"/>
    <n v="890000"/>
    <n v="88000"/>
    <n v="978000"/>
    <n v="13"/>
    <n v="4.3"/>
    <n v="98"/>
    <n v="3"/>
    <s v="Yes"/>
    <s v="Low"/>
    <n v="44732"/>
    <s v="Active"/>
    <s v="nitin"/>
    <s v="jain"/>
    <s v="Nitin Jain"/>
    <s v="NJ029"/>
    <x v="3"/>
    <n v="978000"/>
    <s v="Medium"/>
    <s v="Male"/>
    <s v="Bachelor"/>
    <s v="Pune"/>
    <s v="West"/>
    <s v="Eligible"/>
  </r>
  <r>
    <s v="EMP091"/>
    <d v="1989-01-06T00:00:00"/>
    <n v="35"/>
    <d v="2017-12-15T00:00:00"/>
    <s v="LinkedIn"/>
    <s v="D_003"/>
    <x v="24"/>
    <s v="Full-Time"/>
    <s v="MGR106"/>
    <n v="870000"/>
    <n v="98000"/>
    <n v="968000"/>
    <n v="12"/>
    <n v="4.4000000000000004"/>
    <n v="97.4"/>
    <n v="2"/>
    <s v="Yes"/>
    <s v="Low"/>
    <n v="44915"/>
    <s v="Active"/>
    <s v="sameer"/>
    <s v="bansal"/>
    <s v="Sameer Bansal"/>
    <s v="SB091"/>
    <x v="2"/>
    <n v="1113200"/>
    <s v="Medium"/>
    <s v="Male"/>
    <s v="Master"/>
    <s v="Pune"/>
    <s v="West"/>
    <s v="Not Eligible"/>
  </r>
  <r>
    <s v="EMP037"/>
    <d v="1986-02-28T00:00:00"/>
    <n v="38"/>
    <d v="2015-12-04T00:00:00"/>
    <s v="Job Portal"/>
    <s v="D_001"/>
    <x v="25"/>
    <s v="Full-Time"/>
    <s v="MGR101"/>
    <n v="880000"/>
    <n v="85000"/>
    <n v="965000"/>
    <n v="16"/>
    <n v="4.4000000000000004"/>
    <n v="97.4"/>
    <n v="4"/>
    <s v="No"/>
    <s v="Low"/>
    <n v="44180"/>
    <s v="Active"/>
    <s v="ajay"/>
    <s v="sharma"/>
    <s v="Ajay Sharma"/>
    <s v="AS037"/>
    <x v="1"/>
    <n v="965000"/>
    <s v="Medium"/>
    <s v="Male"/>
    <s v="Bachelor"/>
    <s v="Bangalore"/>
    <s v="South"/>
    <s v="Eligible"/>
  </r>
  <r>
    <s v="EMP086"/>
    <d v="1991-08-03T00:00:00"/>
    <n v="33"/>
    <d v="2019-11-26T00:00:00"/>
    <s v="Job Portal"/>
    <s v="D_001"/>
    <x v="26"/>
    <s v="Full-Time"/>
    <s v="MGR101"/>
    <n v="880000"/>
    <n v="85000"/>
    <n v="965000"/>
    <n v="9"/>
    <n v="4.4000000000000004"/>
    <n v="97.6"/>
    <n v="3"/>
    <s v="Yes"/>
    <s v="Low"/>
    <s v="NA"/>
    <s v="Active"/>
    <s v="preeti"/>
    <s v="menon"/>
    <s v="Preeti Menon"/>
    <s v="PM086"/>
    <x v="1"/>
    <n v="965000"/>
    <s v="Medium"/>
    <s v="Female"/>
    <s v="Bachelor"/>
    <s v="Bangalore"/>
    <s v="South"/>
    <s v="Eligible"/>
  </r>
  <r>
    <s v="EMP031"/>
    <d v="1987-03-01T00:00:00"/>
    <n v="37"/>
    <d v="2016-11-06T00:00:00"/>
    <s v="Job Portal"/>
    <s v="D_003"/>
    <x v="27"/>
    <s v="Full-Time"/>
    <s v="MGR106"/>
    <n v="860000"/>
    <n v="98000"/>
    <n v="958000"/>
    <n v="14"/>
    <n v="4.4000000000000004"/>
    <n v="96.9"/>
    <n v="2"/>
    <s v="Yes"/>
    <s v="Low"/>
    <n v="44515"/>
    <s v="Active"/>
    <s v="ravi"/>
    <s v="shetty"/>
    <s v="Ravi Shetty"/>
    <s v="RS031"/>
    <x v="2"/>
    <n v="1101700"/>
    <s v="Medium"/>
    <s v="Male"/>
    <s v="Bachelor"/>
    <s v="Bangalore"/>
    <s v="South"/>
    <s v="Not Eligible"/>
  </r>
  <r>
    <s v="EMP017"/>
    <d v="1987-04-04T00:00:00"/>
    <n v="37"/>
    <d v="2016-10-12T00:00:00"/>
    <s v="Referral"/>
    <s v="D_005"/>
    <x v="28"/>
    <s v="Full-Time"/>
    <s v="MGR105"/>
    <n v="870000"/>
    <n v="85000"/>
    <n v="955000"/>
    <n v="14"/>
    <n v="4.3"/>
    <n v="98.1"/>
    <n v="3"/>
    <s v="Yes"/>
    <s v="Low"/>
    <n v="44489"/>
    <s v="Active"/>
    <s v="sanjay"/>
    <s v="pillai"/>
    <s v="Sanjay Pillai"/>
    <s v="SP017"/>
    <x v="3"/>
    <n v="955000"/>
    <s v="Medium"/>
    <s v="Male"/>
    <s v="Bachelor"/>
    <s v="Chennai"/>
    <s v="South"/>
    <s v="Eligible"/>
  </r>
  <r>
    <s v="EMP081"/>
    <d v="1986-11-02T00:00:00"/>
    <n v="38"/>
    <d v="2016-05-25T00:00:00"/>
    <s v="LinkedIn"/>
    <s v="D_006"/>
    <x v="29"/>
    <s v="Full-Time"/>
    <s v="MGR103"/>
    <n v="860000"/>
    <n v="82000"/>
    <n v="942000"/>
    <n v="16"/>
    <n v="4.3"/>
    <n v="97.1"/>
    <n v="3"/>
    <s v="No"/>
    <s v="Low"/>
    <n v="44326"/>
    <s v="Active"/>
    <s v="sachin"/>
    <s v="desai"/>
    <s v="Sachin Desai"/>
    <s v="SD081"/>
    <x v="0"/>
    <n v="942000"/>
    <s v="Medium"/>
    <s v="Male"/>
    <s v="Bachelor"/>
    <s v="Mumbai"/>
    <s v="West"/>
    <s v="Eligible"/>
  </r>
  <r>
    <s v="EMP001"/>
    <d v="1985-03-15T00:00:00"/>
    <n v="39"/>
    <d v="2018-04-01T00:00:00"/>
    <s v="Job Portal"/>
    <s v="D_001"/>
    <x v="30"/>
    <s v="Full-Time"/>
    <s v="MGR101"/>
    <n v="850000"/>
    <n v="85000"/>
    <n v="935000"/>
    <n v="12"/>
    <n v="4.2"/>
    <n v="96.5"/>
    <n v="3"/>
    <s v="Yes"/>
    <s v="Low"/>
    <n v="44666"/>
    <s v="Active"/>
    <s v="rajesh"/>
    <s v="kumar"/>
    <s v="Rajesh Kumar"/>
    <s v="RK001"/>
    <x v="1"/>
    <n v="935000"/>
    <s v="Medium"/>
    <s v="Male"/>
    <s v="Bachelor"/>
    <s v="Mumbai"/>
    <s v="West"/>
    <s v="Eligible"/>
  </r>
  <r>
    <s v="EMP089"/>
    <d v="1986-11-11T00:00:00"/>
    <n v="38"/>
    <d v="2016-04-04T00:00:00"/>
    <s v="Job Portal"/>
    <s v="D_005"/>
    <x v="31"/>
    <s v="Full-Time"/>
    <s v="MGR105"/>
    <n v="850000"/>
    <n v="82000"/>
    <n v="932000"/>
    <n v="16"/>
    <n v="4.3"/>
    <n v="97.7"/>
    <n v="3"/>
    <s v="No"/>
    <s v="Low"/>
    <n v="44301"/>
    <s v="Active"/>
    <s v="akash"/>
    <s v="yadav"/>
    <s v="Akash Yadav"/>
    <s v="AY089"/>
    <x v="3"/>
    <n v="932000"/>
    <s v="Medium"/>
    <s v="Male"/>
    <s v="Bachelor"/>
    <s v="Noida"/>
    <s v="North"/>
    <s v="Eligible"/>
  </r>
  <r>
    <s v="EMP035"/>
    <d v="1989-07-17T00:00:00"/>
    <n v="35"/>
    <d v="2018-05-13T00:00:00"/>
    <s v="LinkedIn"/>
    <s v="D_005"/>
    <x v="32"/>
    <s v="Full-Time"/>
    <s v="MGR105"/>
    <n v="850000"/>
    <n v="82000"/>
    <n v="932000"/>
    <n v="12"/>
    <n v="4.3"/>
    <n v="97.6"/>
    <n v="3"/>
    <s v="Yes"/>
    <s v="Low"/>
    <n v="45066"/>
    <s v="Active"/>
    <s v="manish"/>
    <s v="goyal"/>
    <s v="Manish Goyal"/>
    <s v="MG035"/>
    <x v="3"/>
    <n v="932000"/>
    <s v="Medium"/>
    <s v="Male"/>
    <s v="Bachelor"/>
    <s v="Chennai"/>
    <s v="South"/>
    <s v="Eligible"/>
  </r>
  <r>
    <s v="EMP095"/>
    <d v="1990-08-25T00:00:00"/>
    <n v="34"/>
    <d v="2019-03-14T00:00:00"/>
    <s v="Job Portal"/>
    <s v="D_004"/>
    <x v="33"/>
    <s v="Full-Time"/>
    <s v="MGR104"/>
    <n v="850000"/>
    <n v="82000"/>
    <n v="932000"/>
    <n v="10"/>
    <n v="4.4000000000000004"/>
    <n v="97.8"/>
    <n v="3"/>
    <s v="Yes"/>
    <s v="Low"/>
    <s v="NA"/>
    <s v="Active"/>
    <s v="puneet"/>
    <s v="mehta"/>
    <s v="Puneet Mehta"/>
    <s v="PM095"/>
    <x v="5"/>
    <n v="932000"/>
    <s v="Medium"/>
    <s v="Male"/>
    <s v="Bachelor"/>
    <s v="Hyderabad"/>
    <s v="South"/>
    <s v="Eligible"/>
  </r>
  <r>
    <s v="EMP052"/>
    <d v="1991-08-29T00:00:00"/>
    <n v="33"/>
    <d v="2019-06-20T00:00:00"/>
    <s v="Job Portal"/>
    <s v="D_002"/>
    <x v="34"/>
    <s v="Full-Time"/>
    <s v="MGR102"/>
    <n v="850000"/>
    <n v="82000"/>
    <n v="932000"/>
    <n v="9"/>
    <n v="4.4000000000000004"/>
    <n v="97.8"/>
    <n v="2"/>
    <s v="Yes"/>
    <s v="Low"/>
    <n v="45092"/>
    <s v="Active"/>
    <s v="aditi"/>
    <s v="malhotra"/>
    <s v="Aditi Malhotra"/>
    <s v="AM052"/>
    <x v="4"/>
    <n v="932000"/>
    <s v="Medium"/>
    <s v="Female"/>
    <s v="Bachelor"/>
    <s v="Mumbai"/>
    <s v="West"/>
    <s v="Not Eligible"/>
  </r>
  <r>
    <s v="EMP068"/>
    <d v="1991-07-22T00:00:00"/>
    <n v="33"/>
    <d v="2019-10-18T00:00:00"/>
    <s v="Job Portal"/>
    <s v="D_001"/>
    <x v="35"/>
    <s v="Full-Time"/>
    <s v="MGR101"/>
    <n v="850000"/>
    <n v="82000"/>
    <n v="932000"/>
    <n v="9"/>
    <n v="4.4000000000000004"/>
    <n v="97.7"/>
    <n v="3"/>
    <s v="Yes"/>
    <s v="Low"/>
    <s v="NA"/>
    <s v="Active"/>
    <s v="rashmi"/>
    <s v="kapoor"/>
    <s v="Rashmi Kapoor"/>
    <s v="RK068"/>
    <x v="1"/>
    <n v="932000"/>
    <s v="Medium"/>
    <s v="Female"/>
    <s v="Bachelor"/>
    <s v="Bangalore"/>
    <s v="South"/>
    <s v="Eligible"/>
  </r>
  <r>
    <s v="EMP085"/>
    <d v="1990-06-21T00:00:00"/>
    <n v="34"/>
    <d v="2019-01-11T00:00:00"/>
    <s v="Job Portal"/>
    <s v="D_003"/>
    <x v="36"/>
    <s v="Full-Time"/>
    <s v="MGR106"/>
    <n v="840000"/>
    <n v="88000"/>
    <n v="928000"/>
    <n v="10"/>
    <n v="4.3"/>
    <n v="97"/>
    <n v="2"/>
    <s v="Yes"/>
    <s v="Low"/>
    <n v="44946"/>
    <s v="Active"/>
    <s v="anuj"/>
    <s v="sinha"/>
    <s v="Anuj Sinha"/>
    <s v="AS085"/>
    <x v="2"/>
    <n v="1067200"/>
    <s v="Medium"/>
    <s v="Male"/>
    <s v="Bachelor"/>
    <s v="Delhi"/>
    <s v="North"/>
    <s v="Not Eligible"/>
  </r>
  <r>
    <s v="EMP043"/>
    <d v="1987-01-19T00:00:00"/>
    <n v="37"/>
    <d v="2016-02-08T00:00:00"/>
    <s v="LinkedIn"/>
    <s v="D_003"/>
    <x v="37"/>
    <s v="Full-Time"/>
    <s v="MGR106"/>
    <n v="830000"/>
    <n v="92000"/>
    <n v="922000"/>
    <n v="15"/>
    <n v="4.3"/>
    <n v="97.1"/>
    <n v="2"/>
    <s v="Yes"/>
    <s v="Low"/>
    <n v="44242"/>
    <s v="Active"/>
    <s v="harish"/>
    <s v="menon"/>
    <s v="Harish Menon"/>
    <s v="HM043"/>
    <x v="2"/>
    <n v="1060300"/>
    <s v="Medium"/>
    <s v="Male"/>
    <s v="Master"/>
    <s v="Chennai"/>
    <s v="South"/>
    <s v="Not Eligible"/>
  </r>
  <r>
    <s v="EMP013"/>
    <d v="1990-11-27T00:00:00"/>
    <n v="34"/>
    <d v="2018-07-25T00:00:00"/>
    <s v="Job Portal"/>
    <s v="D_003"/>
    <x v="38"/>
    <s v="Full-Time"/>
    <s v="MGR106"/>
    <n v="810000"/>
    <n v="95000"/>
    <n v="905000"/>
    <n v="10"/>
    <n v="4.2"/>
    <n v="95.5"/>
    <n v="2"/>
    <s v="Yes"/>
    <s v="Medium"/>
    <s v="NA"/>
    <s v="Active"/>
    <s v="arjun"/>
    <s v="rao"/>
    <s v="Arjun Rao"/>
    <s v="AR013"/>
    <x v="2"/>
    <n v="1040750"/>
    <s v="Medium"/>
    <s v="Male"/>
    <s v="Bachelor"/>
    <s v="Hyderabad"/>
    <s v="South"/>
    <s v="Not Eligible"/>
  </r>
  <r>
    <s v="EMP033"/>
    <d v="1985-10-23T00:00:00"/>
    <n v="39"/>
    <d v="2015-09-30T00:00:00"/>
    <s v="Referral"/>
    <s v="D_006"/>
    <x v="39"/>
    <s v="Full-Time"/>
    <s v="MGR103"/>
    <n v="820000"/>
    <n v="78000"/>
    <n v="898000"/>
    <n v="17"/>
    <n v="4.0999999999999996"/>
    <n v="96.1"/>
    <n v="2"/>
    <s v="No"/>
    <s v="Low"/>
    <n v="44084"/>
    <s v="Active"/>
    <s v="prakash"/>
    <s v="reddy"/>
    <s v="Prakash Reddy"/>
    <s v="PR033"/>
    <x v="0"/>
    <n v="898000"/>
    <s v="Medium"/>
    <s v="Male"/>
    <s v="Master"/>
    <s v="Hyderabad"/>
    <s v="South"/>
    <s v="Not Eligible"/>
  </r>
  <r>
    <s v="EMP055"/>
    <d v="1987-07-06T00:00:00"/>
    <n v="37"/>
    <d v="2016-11-12T00:00:00"/>
    <s v="Referral"/>
    <s v="D_001"/>
    <x v="40"/>
    <s v="Full-Time"/>
    <s v="MGR101"/>
    <n v="820000"/>
    <n v="78000"/>
    <n v="898000"/>
    <n v="15"/>
    <n v="4.2"/>
    <n v="96.8"/>
    <n v="3"/>
    <s v="Yes"/>
    <s v="Low"/>
    <n v="44525"/>
    <s v="Active"/>
    <s v="karthik"/>
    <s v="reddy"/>
    <s v="Karthik Reddy"/>
    <s v="KR055"/>
    <x v="1"/>
    <n v="898000"/>
    <s v="Medium"/>
    <s v="Male"/>
    <s v="Bachelor"/>
    <s v="Hyderabad"/>
    <s v="South"/>
    <s v="Eligible"/>
  </r>
  <r>
    <s v="EMP023"/>
    <d v="1986-01-07T00:00:00"/>
    <n v="38"/>
    <d v="2016-08-11T00:00:00"/>
    <s v="Campus"/>
    <s v="D_005"/>
    <x v="41"/>
    <s v="Full-Time"/>
    <s v="MGR105"/>
    <n v="820000"/>
    <n v="78000"/>
    <n v="898000"/>
    <n v="15"/>
    <n v="4.2"/>
    <n v="97"/>
    <n v="2"/>
    <s v="Yes"/>
    <s v="Low"/>
    <n v="44433"/>
    <s v="Active"/>
    <s v="vishal"/>
    <s v="tiwari"/>
    <s v="Vishal Tiwari"/>
    <s v="VT023"/>
    <x v="3"/>
    <n v="898000"/>
    <s v="Medium"/>
    <s v="Male"/>
    <s v="Bachelor"/>
    <s v="Delhi"/>
    <s v="North"/>
    <s v="Not Eligible"/>
  </r>
  <r>
    <s v="EMP080"/>
    <d v="1992-04-20T00:00:00"/>
    <n v="32"/>
    <d v="2021-03-12T00:00:00"/>
    <s v="Campus"/>
    <s v="D_002"/>
    <x v="42"/>
    <s v="Full-Time"/>
    <s v="MGR102"/>
    <n v="820000"/>
    <n v="78000"/>
    <n v="898000"/>
    <n v="8"/>
    <n v="4.4000000000000004"/>
    <n v="97.9"/>
    <n v="3"/>
    <s v="Yes"/>
    <s v="Low"/>
    <s v="NA"/>
    <s v="Active"/>
    <s v="shilpa"/>
    <s v="kulkarni"/>
    <s v="Shilpa Kulkarni"/>
    <s v="SK080"/>
    <x v="4"/>
    <n v="898000"/>
    <s v="Medium"/>
    <s v="Female"/>
    <s v="Bachelor"/>
    <s v="Bangalore"/>
    <s v="South"/>
    <s v="Eligible"/>
  </r>
  <r>
    <s v="EMP067"/>
    <d v="1986-11-10T00:00:00"/>
    <n v="38"/>
    <d v="2016-03-05T00:00:00"/>
    <s v="Referral"/>
    <s v="D_003"/>
    <x v="43"/>
    <s v="Full-Time"/>
    <s v="MGR106"/>
    <n v="810000"/>
    <n v="78000"/>
    <n v="888000"/>
    <n v="16"/>
    <n v="4.3"/>
    <n v="97.4"/>
    <n v="2"/>
    <s v="No"/>
    <s v="Low"/>
    <n v="44270"/>
    <s v="Active"/>
    <s v="naveen"/>
    <s v="gupta"/>
    <s v="Naveen Gupta"/>
    <s v="NG067"/>
    <x v="2"/>
    <n v="1021200"/>
    <s v="Medium"/>
    <s v="Male"/>
    <s v="Master"/>
    <s v="Pune"/>
    <s v="West"/>
    <s v="Not Eligible"/>
  </r>
  <r>
    <s v="EMP060"/>
    <d v="1991-06-14T00:00:00"/>
    <n v="33"/>
    <d v="2020-04-11T00:00:00"/>
    <s v="LinkedIn"/>
    <s v="D_004"/>
    <x v="44"/>
    <s v="Full-Time"/>
    <s v="MGR104"/>
    <n v="810000"/>
    <n v="78000"/>
    <n v="888000"/>
    <n v="9"/>
    <n v="4.3"/>
    <n v="97.3"/>
    <n v="2"/>
    <s v="Yes"/>
    <s v="Low"/>
    <s v="NA"/>
    <s v="Active"/>
    <s v="nidhi"/>
    <s v="kulkarni"/>
    <s v="Nidhi Kulkarni"/>
    <s v="NK060"/>
    <x v="5"/>
    <n v="888000"/>
    <s v="Medium"/>
    <s v="Female"/>
    <s v="Bachelor"/>
    <s v="Pune"/>
    <s v="West"/>
    <s v="Not Eligible"/>
  </r>
  <r>
    <s v="EMP071"/>
    <d v="1987-03-29T00:00:00"/>
    <n v="37"/>
    <d v="2016-07-22T00:00:00"/>
    <s v="Job Portal"/>
    <s v="D_005"/>
    <x v="45"/>
    <s v="Full-Time"/>
    <s v="MGR105"/>
    <n v="800000"/>
    <n v="76000"/>
    <n v="876000"/>
    <n v="15"/>
    <n v="4.2"/>
    <n v="97.2"/>
    <n v="3"/>
    <s v="Yes"/>
    <s v="Low"/>
    <n v="44407"/>
    <s v="Active"/>
    <s v="tarun"/>
    <s v="shetty"/>
    <s v="Tarun Shetty"/>
    <s v="TS071"/>
    <x v="3"/>
    <n v="876000"/>
    <s v="Medium"/>
    <s v="Male"/>
    <s v="Bachelor"/>
    <s v="Hyderabad"/>
    <s v="South"/>
    <s v="Eligible"/>
  </r>
  <r>
    <s v="EMP063"/>
    <d v="1987-08-21T00:00:00"/>
    <n v="37"/>
    <d v="2016-06-16T00:00:00"/>
    <s v="Campus"/>
    <s v="D_001"/>
    <x v="46"/>
    <s v="Full-Time"/>
    <s v="MGR101"/>
    <n v="790000"/>
    <n v="75000"/>
    <n v="865000"/>
    <n v="15"/>
    <n v="4.2"/>
    <n v="96.9"/>
    <n v="3"/>
    <s v="Yes"/>
    <s v="Low"/>
    <n v="44367"/>
    <s v="Active"/>
    <s v="abhishek"/>
    <s v="pandey"/>
    <s v="Abhishek Pandey"/>
    <s v="AP063"/>
    <x v="1"/>
    <n v="865000"/>
    <s v="Medium"/>
    <s v="Male"/>
    <s v="Master"/>
    <s v="Mumbai"/>
    <s v="West"/>
    <s v="Eligible"/>
  </r>
  <r>
    <s v="EMP083"/>
    <d v="1987-02-27T00:00:00"/>
    <n v="37"/>
    <d v="2016-09-19T00:00:00"/>
    <s v="Freelance"/>
    <s v="D_005"/>
    <x v="47"/>
    <s v="Full-Time"/>
    <s v="MGR105"/>
    <n v="790000"/>
    <n v="75000"/>
    <n v="865000"/>
    <n v="15"/>
    <n v="4.0999999999999996"/>
    <n v="96.3"/>
    <n v="2"/>
    <s v="Yes"/>
    <s v="Low"/>
    <n v="44464"/>
    <s v="Active"/>
    <s v="yogesh"/>
    <s v="pandey"/>
    <s v="Yogesh Pandey"/>
    <s v="YP083"/>
    <x v="3"/>
    <n v="865000"/>
    <s v="Medium"/>
    <s v="Male"/>
    <s v="Master"/>
    <s v="Chennai"/>
    <s v="South"/>
    <s v="Not Eligible"/>
  </r>
  <r>
    <s v="EMP039"/>
    <d v="1988-04-03T00:00:00"/>
    <n v="36"/>
    <d v="2017-07-26T00:00:00"/>
    <s v="LinkedIn"/>
    <s v="D_006"/>
    <x v="48"/>
    <s v="Full-Time"/>
    <s v="MGR103"/>
    <n v="790000"/>
    <n v="72000"/>
    <n v="862000"/>
    <n v="13"/>
    <n v="4.2"/>
    <n v="96.5"/>
    <n v="2"/>
    <s v="Yes"/>
    <s v="Low"/>
    <n v="44752"/>
    <s v="Active"/>
    <s v="sandeep"/>
    <s v="rana"/>
    <s v="Sandeep Rana"/>
    <s v="SR039"/>
    <x v="0"/>
    <n v="862000"/>
    <s v="Medium"/>
    <s v="Male"/>
    <s v="Bachelor"/>
    <s v="Delhi"/>
    <s v="North"/>
    <s v="Not Eligible"/>
  </r>
  <r>
    <s v="EMP073"/>
    <d v="1990-12-24T00:00:00"/>
    <n v="34"/>
    <d v="2019-02-16T00:00:00"/>
    <s v="Job Portal"/>
    <s v="D_003"/>
    <x v="49"/>
    <s v="Full-Time"/>
    <s v="MGR106"/>
    <n v="780000"/>
    <n v="75000"/>
    <n v="855000"/>
    <n v="10"/>
    <n v="4.2"/>
    <n v="96.6"/>
    <n v="2"/>
    <s v="Yes"/>
    <s v="Medium"/>
    <s v="NA"/>
    <s v="Active"/>
    <s v="ashish"/>
    <s v="pillai"/>
    <s v="Ashish Pillai"/>
    <s v="AP073"/>
    <x v="2"/>
    <n v="983250"/>
    <s v="Medium"/>
    <s v="Male"/>
    <s v="Master"/>
    <s v="Bangalore"/>
    <s v="South"/>
    <s v="Not Eligible"/>
  </r>
  <r>
    <s v="EMP027"/>
    <d v="1984-09-15T00:00:00"/>
    <n v="40"/>
    <d v="2015-01-09T00:00:00"/>
    <s v="Referral"/>
    <s v="D_001"/>
    <x v="50"/>
    <s v="Full-Time"/>
    <s v="MGR101"/>
    <n v="780000"/>
    <n v="72000"/>
    <n v="852000"/>
    <n v="19"/>
    <n v="4.0999999999999996"/>
    <n v="96.4"/>
    <n v="3"/>
    <s v="No"/>
    <s v="Low"/>
    <n v="43845"/>
    <s v="Active"/>
    <s v="ashok"/>
    <s v="bansal"/>
    <s v="Ashok Bansal"/>
    <s v="AB027"/>
    <x v="1"/>
    <n v="852000"/>
    <s v="Medium"/>
    <s v="Male"/>
    <s v="Bachelor"/>
    <s v="Mumbai"/>
    <s v="West"/>
    <s v="Eligible"/>
  </r>
  <r>
    <s v="EMP076"/>
    <d v="1991-02-01T00:00:00"/>
    <n v="33"/>
    <d v="2019-09-27T00:00:00"/>
    <s v="Job Portal"/>
    <s v="D_005"/>
    <x v="51"/>
    <s v="Full-Time"/>
    <s v="MGR105"/>
    <n v="780000"/>
    <n v="72000"/>
    <n v="852000"/>
    <n v="9"/>
    <n v="4.3"/>
    <n v="97.5"/>
    <n v="2"/>
    <s v="Yes"/>
    <s v="Low"/>
    <n v="45184"/>
    <s v="Active"/>
    <s v="sunita"/>
    <s v="nair"/>
    <s v="Sunita Nair"/>
    <s v="SN076"/>
    <x v="3"/>
    <n v="852000"/>
    <s v="Medium"/>
    <s v="Female"/>
    <s v="Bachelor"/>
    <s v="Mumbai"/>
    <s v="West"/>
    <s v="Not Eligible"/>
  </r>
  <r>
    <s v="EMP024"/>
    <d v="1992-07-18T00:00:00"/>
    <n v="32"/>
    <d v="2020-12-05T00:00:00"/>
    <s v="LinkedIn"/>
    <s v="D_004"/>
    <x v="52"/>
    <s v="Full-Time"/>
    <s v="MGR104"/>
    <n v="780000"/>
    <n v="72000"/>
    <n v="852000"/>
    <n v="8"/>
    <n v="4.4000000000000004"/>
    <n v="98.3"/>
    <n v="3"/>
    <s v="Yes"/>
    <s v="Low"/>
    <s v="NA"/>
    <s v="Active"/>
    <s v="anjali"/>
    <s v="sinha"/>
    <s v="Anjali Sinha"/>
    <s v="AS024"/>
    <x v="5"/>
    <n v="852000"/>
    <s v="Medium"/>
    <s v="Female"/>
    <s v="Bachelor"/>
    <s v="Bangalore"/>
    <s v="South"/>
    <s v="Eligible"/>
  </r>
  <r>
    <s v="EMP050"/>
    <d v="1993-10-13T00:00:00"/>
    <n v="31"/>
    <d v="2021-05-22T00:00:00"/>
    <s v="Job Portal"/>
    <s v="D_001"/>
    <x v="53"/>
    <s v="Full-Time"/>
    <s v="MGR101"/>
    <n v="780000"/>
    <n v="72000"/>
    <n v="852000"/>
    <n v="6"/>
    <n v="4.2"/>
    <n v="96.7"/>
    <n v="3"/>
    <s v="Yes"/>
    <s v="Low"/>
    <s v="NA"/>
    <s v="Active"/>
    <s v="kavya"/>
    <s v="iyer"/>
    <s v="Kavya Iyer"/>
    <s v="KI050"/>
    <x v="1"/>
    <n v="852000"/>
    <s v="Medium"/>
    <s v="Female"/>
    <s v="Bachelor"/>
    <s v="Noida"/>
    <s v="North"/>
    <s v="Not Eligible"/>
  </r>
  <r>
    <s v="EMP003"/>
    <d v="1988-11-10T00:00:00"/>
    <n v="36"/>
    <d v="2017-01-20T00:00:00"/>
    <s v="Referral"/>
    <s v="D_006"/>
    <x v="54"/>
    <s v="Full-Time"/>
    <s v="MGR103"/>
    <n v="780000"/>
    <n v="70000"/>
    <n v="850000"/>
    <n v="14"/>
    <n v="3.8"/>
    <n v="94.3"/>
    <n v="1"/>
    <s v="No"/>
    <s v="Medium"/>
    <s v="NA"/>
    <s v="Active"/>
    <s v="amit"/>
    <s v="patel"/>
    <s v="Amit Patel"/>
    <s v="AP003"/>
    <x v="0"/>
    <n v="850000"/>
    <s v="Medium"/>
    <s v="Male"/>
    <s v="Master"/>
    <s v="Bangalore"/>
    <s v="South"/>
    <s v="Not Eligible"/>
  </r>
  <r>
    <s v="EMP087"/>
    <d v="1988-03-16T00:00:00"/>
    <n v="36"/>
    <d v="2017-07-08T00:00:00"/>
    <s v="LinkedIn"/>
    <s v="D_006"/>
    <x v="55"/>
    <s v="Full-Time"/>
    <s v="MGR103"/>
    <n v="770000"/>
    <n v="72000"/>
    <n v="842000"/>
    <n v="13"/>
    <n v="4.0999999999999996"/>
    <n v="96.5"/>
    <n v="2"/>
    <s v="Yes"/>
    <s v="Low"/>
    <n v="44757"/>
    <s v="Active"/>
    <s v="hemant"/>
    <s v="gupta"/>
    <s v="Hemant Gupta"/>
    <s v="HG087"/>
    <x v="0"/>
    <n v="842000"/>
    <s v="Medium"/>
    <s v="Male"/>
    <s v="Bachelor"/>
    <s v="Hyderabad"/>
    <s v="South"/>
    <s v="Not Eligible"/>
  </r>
  <r>
    <s v="EMP057"/>
    <d v="1989-09-02T00:00:00"/>
    <n v="35"/>
    <d v="2018-05-15T00:00:00"/>
    <s v="Referral"/>
    <s v="D_006"/>
    <x v="56"/>
    <s v="Full-Time"/>
    <s v="MGR103"/>
    <n v="770000"/>
    <n v="71000"/>
    <n v="841000"/>
    <n v="11"/>
    <n v="4.0999999999999996"/>
    <n v="96.2"/>
    <n v="2"/>
    <s v="Yes"/>
    <s v="Low"/>
    <n v="45066"/>
    <s v="Active"/>
    <s v="mohit"/>
    <s v="jain"/>
    <s v="Mohit Jain"/>
    <s v="MJ057"/>
    <x v="0"/>
    <n v="841000"/>
    <s v="Medium"/>
    <s v="Male"/>
    <s v="Bachelor"/>
    <s v="Mumbai"/>
    <s v="West"/>
    <s v="Not Eligible"/>
  </r>
  <r>
    <s v="EMP065"/>
    <d v="1990-02-15T00:00:00"/>
    <n v="34"/>
    <d v="2018-09-13T00:00:00"/>
    <s v="Job Portal"/>
    <s v="D_005"/>
    <x v="57"/>
    <s v="Full-Time"/>
    <s v="MGR105"/>
    <n v="760000"/>
    <n v="72000"/>
    <n v="832000"/>
    <n v="11"/>
    <n v="4.0999999999999996"/>
    <n v="96.4"/>
    <n v="2"/>
    <s v="Yes"/>
    <s v="Low"/>
    <n v="45189"/>
    <s v="Active"/>
    <s v="pankaj"/>
    <s v="bansal"/>
    <s v="Pankaj Bansal"/>
    <s v="PB065"/>
    <x v="3"/>
    <n v="832000"/>
    <s v="Medium"/>
    <s v="Male"/>
    <s v="Master"/>
    <s v="Noida"/>
    <s v="North"/>
    <s v="Not Eligible"/>
  </r>
  <r>
    <s v="EMP090"/>
    <d v="1992-05-24T00:00:00"/>
    <n v="32"/>
    <d v="2020-08-19T00:00:00"/>
    <s v="Campus"/>
    <s v="D_004"/>
    <x v="58"/>
    <s v="Full-Time"/>
    <s v="MGR104"/>
    <n v="760000"/>
    <n v="72000"/>
    <n v="832000"/>
    <n v="8"/>
    <n v="4.2"/>
    <n v="96.9"/>
    <n v="2"/>
    <s v="Yes"/>
    <s v="Low"/>
    <s v="NA"/>
    <s v="Active"/>
    <s v="naina"/>
    <s v="tiwari"/>
    <s v="Naina Tiwari"/>
    <s v="NT090"/>
    <x v="5"/>
    <n v="832000"/>
    <s v="Medium"/>
    <s v="Female"/>
    <s v="Bachelor"/>
    <s v="Chennai"/>
    <s v="South"/>
    <s v="Not Eligible"/>
  </r>
  <r>
    <s v="EMP045"/>
    <d v="1989-03-12T00:00:00"/>
    <n v="35"/>
    <d v="2017-08-17T00:00:00"/>
    <s v="Job Portal"/>
    <s v="D_006"/>
    <x v="59"/>
    <s v="Full-Time"/>
    <s v="MGR103"/>
    <n v="760000"/>
    <n v="70000"/>
    <n v="830000"/>
    <n v="12"/>
    <n v="4"/>
    <n v="95.8"/>
    <n v="2"/>
    <s v="Yes"/>
    <s v="Low"/>
    <n v="44798"/>
    <s v="Active"/>
    <s v="aditya"/>
    <s v="verma"/>
    <s v="Aditya Verma"/>
    <s v="AV045"/>
    <x v="0"/>
    <n v="830000"/>
    <s v="Medium"/>
    <s v="Male"/>
    <s v="Bachelor"/>
    <s v="Mumbai"/>
    <s v="West"/>
    <s v="Not Eligible"/>
  </r>
  <r>
    <s v="EMP015"/>
    <d v="1988-07-09T00:00:00"/>
    <n v="36"/>
    <d v="2017-09-03T00:00:00"/>
    <s v="Job Portal"/>
    <s v="D_006"/>
    <x v="60"/>
    <s v="Full-Time"/>
    <s v="MGR103"/>
    <n v="750000"/>
    <n v="68000"/>
    <n v="818000"/>
    <n v="12"/>
    <n v="4"/>
    <n v="96.8"/>
    <n v="2"/>
    <s v="Yes"/>
    <s v="Low"/>
    <n v="44819"/>
    <s v="Active"/>
    <s v="karan"/>
    <s v="malhotra"/>
    <s v="Karan Malhotra"/>
    <s v="KM015"/>
    <x v="0"/>
    <n v="818000"/>
    <s v="Medium"/>
    <s v="Male"/>
    <s v="Bachelor"/>
    <s v="Delhi"/>
    <s v="North"/>
    <s v="Not Eligible"/>
  </r>
  <r>
    <s v="EMP069"/>
    <d v="1989-01-04T00:00:00"/>
    <n v="35"/>
    <d v="2018-04-26T00:00:00"/>
    <s v="Freelance"/>
    <s v="D_006"/>
    <x v="61"/>
    <s v="Full-Time"/>
    <s v="MGR103"/>
    <n v="740000"/>
    <n v="68000"/>
    <n v="808000"/>
    <n v="12"/>
    <n v="4"/>
    <n v="95.6"/>
    <n v="2"/>
    <s v="Yes"/>
    <s v="Low"/>
    <n v="45026"/>
    <s v="Active"/>
    <s v="deepak"/>
    <s v="yadav"/>
    <s v="Deepak Yadav"/>
    <s v="DY069"/>
    <x v="0"/>
    <n v="808000"/>
    <s v="Medium"/>
    <s v="Male"/>
    <s v="Bachelor"/>
    <s v="Delhi"/>
    <s v="North"/>
    <s v="Not Eligible"/>
  </r>
  <r>
    <s v="EMP032"/>
    <d v="1992-06-14T00:00:00"/>
    <n v="32"/>
    <d v="2020-04-19T00:00:00"/>
    <s v="LinkedIn"/>
    <s v="D_001"/>
    <x v="62"/>
    <s v="Full-Time"/>
    <s v="MGR101"/>
    <n v="740000"/>
    <n v="68000"/>
    <n v="808000"/>
    <n v="8"/>
    <n v="4.2"/>
    <n v="97.2"/>
    <n v="2"/>
    <s v="Yes"/>
    <s v="Low"/>
    <s v="NA"/>
    <s v="Active"/>
    <s v="tanvi"/>
    <s v="deshpande"/>
    <s v="Tanvi Deshpande"/>
    <s v="TD032"/>
    <x v="1"/>
    <n v="808000"/>
    <s v="Medium"/>
    <s v="Female"/>
    <s v="Bachelor"/>
    <s v="Mumbai"/>
    <s v="West"/>
    <s v="Not Eligible"/>
  </r>
  <r>
    <s v="EMP064"/>
    <d v="1992-10-03T00:00:00"/>
    <n v="32"/>
    <d v="2020-11-29T00:00:00"/>
    <s v="LinkedIn"/>
    <s v="D_006"/>
    <x v="63"/>
    <s v="Full-Time"/>
    <s v="MGR103"/>
    <n v="730000"/>
    <n v="68000"/>
    <n v="798000"/>
    <n v="8"/>
    <n v="4"/>
    <n v="95.9"/>
    <n v="2"/>
    <s v="Yes"/>
    <s v="Low"/>
    <s v="NA"/>
    <s v="Active"/>
    <s v="megha"/>
    <s v="tiwari"/>
    <s v="Megha Tiwari"/>
    <s v="MT064"/>
    <x v="0"/>
    <n v="798000"/>
    <s v="Medium"/>
    <s v="Female"/>
    <s v="Bachelor"/>
    <s v="Hyderabad"/>
    <s v="South"/>
    <s v="Not Eligible"/>
  </r>
  <r>
    <s v="EMP053"/>
    <d v="1990-12-11T00:00:00"/>
    <n v="34"/>
    <d v="2019-03-18T00:00:00"/>
    <s v="LinkedIn"/>
    <s v="D_005"/>
    <x v="64"/>
    <s v="Full-Time"/>
    <s v="MGR105"/>
    <n v="720000"/>
    <n v="68000"/>
    <n v="788000"/>
    <n v="10"/>
    <n v="4"/>
    <n v="95.4"/>
    <n v="2"/>
    <s v="Yes"/>
    <s v="Medium"/>
    <s v="NA"/>
    <s v="Active"/>
    <s v="vivek"/>
    <s v="nair"/>
    <s v="Vivek Nair"/>
    <s v="VN053"/>
    <x v="3"/>
    <n v="788000"/>
    <s v="Medium"/>
    <s v="Male"/>
    <s v="Bachelor"/>
    <s v="Delhi"/>
    <s v="North"/>
    <s v="Not Eligible"/>
  </r>
  <r>
    <s v="EMP078"/>
    <d v="1993-09-26T00:00:00"/>
    <n v="31"/>
    <d v="2021-06-20T00:00:00"/>
    <s v="Referral"/>
    <s v="D_004"/>
    <x v="65"/>
    <s v="Full-Time"/>
    <s v="MGR104"/>
    <n v="720000"/>
    <n v="68000"/>
    <n v="788000"/>
    <n v="6"/>
    <n v="4.2"/>
    <n v="96.8"/>
    <n v="2"/>
    <s v="Yes"/>
    <s v="Low"/>
    <s v="NA"/>
    <s v="Active"/>
    <s v="archana"/>
    <s v="bhatt"/>
    <s v="Archana Bhatt"/>
    <s v="AB078"/>
    <x v="5"/>
    <n v="788000"/>
    <s v="Medium"/>
    <s v="Female"/>
    <s v="Bachelor"/>
    <s v="Pune"/>
    <s v="West"/>
    <s v="Not Eligible"/>
  </r>
  <r>
    <s v="EMP094"/>
    <d v="1994-04-12T00:00:00"/>
    <n v="30"/>
    <d v="2022-11-27T00:00:00"/>
    <s v="Referral"/>
    <s v="D_005"/>
    <x v="66"/>
    <s v="Full-Time"/>
    <s v="MGR105"/>
    <n v="720000"/>
    <n v="68000"/>
    <n v="788000"/>
    <n v="5"/>
    <n v="4"/>
    <n v="95.7"/>
    <n v="2"/>
    <s v="Yes"/>
    <s v="Medium"/>
    <s v="NA"/>
    <s v="Active"/>
    <s v="shraddha"/>
    <s v="joshi"/>
    <s v="Shraddha Joshi"/>
    <s v="SJ094"/>
    <x v="3"/>
    <n v="788000"/>
    <s v="Medium"/>
    <s v="Female"/>
    <s v="Bachelor"/>
    <s v="Mumbai"/>
    <s v="West"/>
    <s v="Not Eligible"/>
  </r>
  <r>
    <s v="EMP006"/>
    <d v="1991-04-25T00:00:00"/>
    <n v="33"/>
    <d v="2019-09-22T00:00:00"/>
    <s v="LinkedIn"/>
    <s v="D_001"/>
    <x v="67"/>
    <s v="Full-Time"/>
    <s v="MGR101"/>
    <n v="720000"/>
    <n v="65000"/>
    <n v="785000"/>
    <n v="9"/>
    <n v="4.0999999999999996"/>
    <n v="95.8"/>
    <n v="2"/>
    <s v="Yes"/>
    <s v="Low"/>
    <s v="NA"/>
    <s v="Active"/>
    <s v="anita"/>
    <s v="desai"/>
    <s v="Anita Desai"/>
    <s v="AD006"/>
    <x v="1"/>
    <n v="785000"/>
    <s v="Medium"/>
    <s v="Female"/>
    <s v="Bachelor"/>
    <s v="Mumbai"/>
    <s v="West"/>
    <s v="Not Eligible"/>
  </r>
  <r>
    <s v="EMP028"/>
    <d v="1991-04-26T00:00:00"/>
    <n v="33"/>
    <d v="2019-10-23T00:00:00"/>
    <s v="Job Portal"/>
    <s v="D_006"/>
    <x v="68"/>
    <s v="Full-Time"/>
    <s v="MGR103"/>
    <n v="710000"/>
    <n v="65000"/>
    <n v="775000"/>
    <n v="9"/>
    <n v="4"/>
    <n v="95.7"/>
    <n v="2"/>
    <s v="Yes"/>
    <s v="Low"/>
    <s v="NA"/>
    <s v="Active"/>
    <s v="preeti"/>
    <s v="mishra"/>
    <s v="Preeti Mishra"/>
    <s v="PM028"/>
    <x v="0"/>
    <n v="775000"/>
    <s v="Medium"/>
    <s v="Female"/>
    <s v="Bachelor"/>
    <s v="Chennai"/>
    <s v="South"/>
    <s v="Not Eligible"/>
  </r>
  <r>
    <s v="EMP098"/>
    <d v="1993-09-01T00:00:00"/>
    <n v="31"/>
    <d v="2021-07-16T00:00:00"/>
    <s v="Job Portal"/>
    <s v="D_002"/>
    <x v="69"/>
    <s v="Full-Time"/>
    <s v="MGR102"/>
    <n v="690000"/>
    <n v="64000"/>
    <n v="754000"/>
    <n v="6"/>
    <n v="4.0999999999999996"/>
    <n v="96.4"/>
    <n v="2"/>
    <s v="Yes"/>
    <s v="Low"/>
    <s v="NA"/>
    <s v="Active"/>
    <s v="tara"/>
    <s v="desai"/>
    <s v="Tara Desai"/>
    <s v="TD098"/>
    <x v="4"/>
    <n v="754000"/>
    <s v="Low"/>
    <s v="Female"/>
    <s v="Master"/>
    <s v="Chennai"/>
    <s v="South"/>
    <s v="Not Eligible"/>
  </r>
  <r>
    <s v="EMP044"/>
    <d v="1991-09-30T00:00:00"/>
    <n v="33"/>
    <d v="2019-10-24T00:00:00"/>
    <s v="Referral"/>
    <s v="D_002"/>
    <x v="70"/>
    <s v="Full-Time"/>
    <s v="MGR102"/>
    <n v="690000"/>
    <n v="62000"/>
    <n v="752000"/>
    <n v="9"/>
    <n v="4.0999999999999996"/>
    <n v="96.3"/>
    <n v="2"/>
    <s v="Yes"/>
    <s v="Low"/>
    <s v="NA"/>
    <s v="Active"/>
    <s v="priyanka"/>
    <s v="gupta"/>
    <s v="Priyanka Gupta"/>
    <s v="PG044"/>
    <x v="4"/>
    <n v="752000"/>
    <s v="Low"/>
    <s v="Female"/>
    <s v="Master"/>
    <s v="Bangalore"/>
    <s v="South"/>
    <s v="Not Eligible"/>
  </r>
  <r>
    <s v="EMP012"/>
    <d v="1991-05-19T00:00:00"/>
    <n v="33"/>
    <d v="2019-04-10T00:00:00"/>
    <s v="Referral"/>
    <s v="D_005"/>
    <x v="71"/>
    <s v="Full-Time"/>
    <s v="MGR105"/>
    <n v="690000"/>
    <n v="62000"/>
    <n v="752000"/>
    <n v="9"/>
    <n v="3.7"/>
    <n v="92.8"/>
    <n v="1"/>
    <s v="No"/>
    <s v="High"/>
    <s v="NA"/>
    <s v="Active"/>
    <s v="pooja"/>
    <s v="kapoor"/>
    <s v="Pooja Kapoor"/>
    <s v="PK012"/>
    <x v="3"/>
    <n v="752000"/>
    <s v="Low"/>
    <s v="Female"/>
    <s v="Master"/>
    <s v="Pune"/>
    <s v="West"/>
    <s v="Not Eligible"/>
  </r>
  <r>
    <s v="EMP074"/>
    <d v="1994-06-07T00:00:00"/>
    <n v="30"/>
    <d v="2022-08-23T00:00:00"/>
    <s v="Freelance"/>
    <s v="D_001"/>
    <x v="72"/>
    <s v="Full-Time"/>
    <s v="MGR101"/>
    <n v="680000"/>
    <n v="62000"/>
    <n v="742000"/>
    <n v="5"/>
    <n v="4"/>
    <n v="95.2"/>
    <n v="2"/>
    <s v="Yes"/>
    <s v="Low"/>
    <s v="NA"/>
    <s v="Active"/>
    <s v="jyoti"/>
    <s v="agarwal"/>
    <s v="Jyoti Agarwal"/>
    <s v="JA074"/>
    <x v="1"/>
    <n v="742000"/>
    <s v="Low"/>
    <s v="Female"/>
    <s v="Bachelor"/>
    <s v="Noida"/>
    <s v="North"/>
    <s v="Not Eligible"/>
  </r>
  <r>
    <s v="EMP021"/>
    <d v="1989-02-13T00:00:00"/>
    <n v="35"/>
    <d v="2018-05-28T00:00:00"/>
    <s v="Referral"/>
    <s v="D_006"/>
    <x v="73"/>
    <s v="Full-Time"/>
    <s v="MGR103"/>
    <n v="680000"/>
    <n v="60000"/>
    <n v="740000"/>
    <n v="11"/>
    <n v="3.8"/>
    <n v="93.9"/>
    <n v="1"/>
    <s v="No"/>
    <s v="Medium"/>
    <s v="NA"/>
    <s v="Active"/>
    <s v="rohit"/>
    <s v="agarwal"/>
    <s v="Rohit Agarwal"/>
    <s v="RA021"/>
    <x v="0"/>
    <n v="740000"/>
    <s v="Low"/>
    <s v="Male"/>
    <s v="Master"/>
    <s v="Mumbai"/>
    <s v="West"/>
    <s v="Not Eligible"/>
  </r>
  <r>
    <s v="EMP040"/>
    <d v="1992-12-16T00:00:00"/>
    <n v="32"/>
    <d v="2021-03-10T00:00:00"/>
    <s v="Job Portal"/>
    <s v="D_005"/>
    <x v="74"/>
    <s v="Full-Time"/>
    <s v="MGR105"/>
    <n v="670000"/>
    <n v="60000"/>
    <n v="730000"/>
    <n v="7"/>
    <n v="3.9"/>
    <n v="95"/>
    <n v="1"/>
    <s v="Yes"/>
    <s v="Medium"/>
    <s v="NA"/>
    <s v="Active"/>
    <s v="madhuri"/>
    <s v="joshi"/>
    <s v="Madhuri Joshi"/>
    <s v="MJ040"/>
    <x v="3"/>
    <n v="730000"/>
    <s v="Low"/>
    <s v="Female"/>
    <s v="Bachelor"/>
    <s v="Hyderabad"/>
    <s v="South"/>
    <s v="Not Eligible"/>
  </r>
  <r>
    <s v="EMP084"/>
    <d v="1993-12-09T00:00:00"/>
    <n v="31"/>
    <d v="2022-04-15T00:00:00"/>
    <s v="Referral"/>
    <s v="D_004"/>
    <x v="75"/>
    <s v="Full-Time"/>
    <s v="MGR104"/>
    <n v="650000"/>
    <n v="58000"/>
    <n v="708000"/>
    <n v="6"/>
    <n v="3.9"/>
    <n v="94.9"/>
    <n v="1"/>
    <s v="Yes"/>
    <s v="Medium"/>
    <s v="NA"/>
    <s v="Active"/>
    <s v="riya"/>
    <s v="jain"/>
    <s v="Riya Jain"/>
    <s v="RJ084"/>
    <x v="5"/>
    <n v="708000"/>
    <s v="Low"/>
    <s v="Female"/>
    <s v="Master"/>
    <s v="Pune"/>
    <s v="West"/>
    <s v="Not Eligible"/>
  </r>
  <r>
    <s v="EMP004"/>
    <d v="1992-09-05T00:00:00"/>
    <n v="32"/>
    <d v="2020-03-12T00:00:00"/>
    <s v="Job Portal"/>
    <s v="D_004"/>
    <x v="76"/>
    <s v="Full-Time"/>
    <s v="MGR104"/>
    <n v="650000"/>
    <n v="55000"/>
    <n v="705000"/>
    <n v="8"/>
    <n v="4"/>
    <n v="97.1"/>
    <n v="2"/>
    <s v="Yes"/>
    <s v="Low"/>
    <s v="NA"/>
    <s v="Active"/>
    <s v="sneha"/>
    <s v="reddy"/>
    <s v="Sneha Reddy"/>
    <s v="SR004"/>
    <x v="5"/>
    <n v="705000"/>
    <s v="Low"/>
    <s v="Female"/>
    <s v="Bachelor"/>
    <s v="Hyderabad"/>
    <s v="South"/>
    <s v="Not Eligible"/>
  </r>
  <r>
    <s v="EMP070"/>
    <d v="1993-09-16T00:00:00"/>
    <n v="31"/>
    <d v="2021-12-14T00:00:00"/>
    <s v="Referral"/>
    <s v="D_002"/>
    <x v="77"/>
    <s v="Full-Time"/>
    <s v="MGR102"/>
    <n v="640000"/>
    <n v="58000"/>
    <n v="698000"/>
    <n v="6"/>
    <n v="4.0999999999999996"/>
    <n v="96.1"/>
    <n v="2"/>
    <s v="Yes"/>
    <s v="Low"/>
    <s v="NA"/>
    <s v="Active"/>
    <s v="smita"/>
    <s v="joshi"/>
    <s v="Smita Joshi"/>
    <s v="SJ070"/>
    <x v="4"/>
    <n v="698000"/>
    <s v="Low"/>
    <s v="Female"/>
    <s v="Bachelor"/>
    <s v="Mumbai"/>
    <s v="West"/>
    <s v="Not Eligible"/>
  </r>
  <r>
    <s v="EMP020"/>
    <d v="1991-06-06T00:00:00"/>
    <n v="33"/>
    <d v="2019-11-19T00:00:00"/>
    <s v="LinkedIn"/>
    <s v="D_003"/>
    <x v="78"/>
    <s v="Full-Time"/>
    <s v="MGR106"/>
    <n v="620000"/>
    <n v="58000"/>
    <n v="678000"/>
    <n v="8"/>
    <n v="3.9"/>
    <n v="94.7"/>
    <n v="1"/>
    <s v="Yes"/>
    <s v="Medium"/>
    <s v="NA"/>
    <s v="Active"/>
    <s v="divya"/>
    <s v="menon"/>
    <s v="Divya Menon"/>
    <s v="DM020"/>
    <x v="2"/>
    <n v="779700"/>
    <s v="Low"/>
    <s v="F"/>
    <s v="Master"/>
    <s v="Bangalore"/>
    <s v="South"/>
    <s v="Not Eligible"/>
  </r>
  <r>
    <s v="EMP026"/>
    <d v="1993-05-02T00:00:00"/>
    <n v="31"/>
    <d v="2021-07-14T00:00:00"/>
    <s v="Freelance"/>
    <s v="D_002"/>
    <x v="79"/>
    <s v="Full-Time"/>
    <s v="MGR102"/>
    <n v="620000"/>
    <n v="55000"/>
    <n v="675000"/>
    <n v="6"/>
    <n v="3.9"/>
    <n v="94.5"/>
    <n v="1"/>
    <s v="Yes"/>
    <s v="Medium"/>
    <s v="NA"/>
    <s v="Active"/>
    <s v="nisha"/>
    <s v="yadav"/>
    <s v="Nisha Yadav"/>
    <s v="NY026"/>
    <x v="4"/>
    <n v="675000"/>
    <s v="Low"/>
    <s v="Female"/>
    <s v="Master"/>
    <s v="Noida"/>
    <s v="North"/>
    <s v="Not Eligible"/>
  </r>
  <r>
    <s v="EMP100"/>
    <d v="1995-03-27T00:00:00"/>
    <n v="29"/>
    <d v="2023-01-24T00:00:00"/>
    <s v="Referral"/>
    <s v="D_001"/>
    <x v="80"/>
    <s v="Full-Time"/>
    <s v="MGR101"/>
    <n v="620000"/>
    <n v="55000"/>
    <n v="675000"/>
    <n v="4"/>
    <n v="3.9"/>
    <n v="94.3"/>
    <n v="2"/>
    <s v="Yes"/>
    <s v="Medium"/>
    <s v="NA"/>
    <s v="Active"/>
    <s v="prachi"/>
    <s v="kulkarni"/>
    <s v="Prachi Kulkarni"/>
    <s v="PK100"/>
    <x v="1"/>
    <n v="675000"/>
    <s v="Low"/>
    <s v="Female"/>
    <s v="Master"/>
    <s v="Mumbai"/>
    <s v="West"/>
    <s v="Not Eligible"/>
  </r>
  <r>
    <s v="EMP062"/>
    <d v="1993-04-09T00:00:00"/>
    <n v="31"/>
    <d v="2022-01-24T00:00:00"/>
    <s v="Job Portal"/>
    <s v="D_002"/>
    <x v="81"/>
    <s v="Full-Time"/>
    <s v="MGR102"/>
    <n v="590000"/>
    <n v="52000"/>
    <n v="642000"/>
    <n v="6"/>
    <n v="3.9"/>
    <n v="94.6"/>
    <n v="1"/>
    <s v="Yes"/>
    <s v="Medium"/>
    <s v="NA"/>
    <s v="Active"/>
    <s v="poornima"/>
    <s v="rao"/>
    <s v="Poornima Rao"/>
    <s v="PR062"/>
    <x v="4"/>
    <n v="642000"/>
    <s v="Low"/>
    <s v="Female"/>
    <s v="Bachelor"/>
    <s v="Bangalore"/>
    <s v="South"/>
    <s v="Not Eligible"/>
  </r>
  <r>
    <s v="EMP022"/>
    <d v="1994-10-24T00:00:00"/>
    <n v="30"/>
    <d v="2022-09-16T00:00:00"/>
    <s v="Job Portal"/>
    <s v="D_001"/>
    <x v="82"/>
    <s v="Full-Time"/>
    <s v="MGR101"/>
    <n v="590000"/>
    <n v="52000"/>
    <n v="642000"/>
    <n v="5"/>
    <n v="4"/>
    <n v="95.3"/>
    <n v="2"/>
    <s v="Yes"/>
    <s v="Low"/>
    <s v="NA"/>
    <s v="Active"/>
    <s v="swati"/>
    <s v="kulkarni"/>
    <s v="Swati Kulkarni"/>
    <s v="SK022"/>
    <x v="1"/>
    <n v="642000"/>
    <s v="Low"/>
    <s v="Female"/>
    <s v="Bachelor"/>
    <s v="Pune"/>
    <s v="West"/>
    <s v="Not Eligible"/>
  </r>
  <r>
    <s v="EMP056"/>
    <d v="1992-01-17T00:00:00"/>
    <n v="32"/>
    <d v="2020-07-28T00:00:00"/>
    <s v="Referral"/>
    <s v="D_003"/>
    <x v="83"/>
    <s v="Full-Time"/>
    <s v="MGR106"/>
    <n v="580000"/>
    <n v="52000"/>
    <n v="632000"/>
    <n v="8"/>
    <n v="3.8"/>
    <n v="93.9"/>
    <n v="1"/>
    <s v="Yes"/>
    <s v="Medium"/>
    <s v="NA"/>
    <s v="Active"/>
    <s v="ananya"/>
    <s v="desai"/>
    <s v="Ananya Desai"/>
    <s v="AD056"/>
    <x v="2"/>
    <n v="726800"/>
    <s v="Low"/>
    <s v="Female"/>
    <s v="Master"/>
    <s v="Bangalore"/>
    <s v="South"/>
    <s v="Not Eligible"/>
  </r>
  <r>
    <s v="EMP016"/>
    <d v="1992-12-21T00:00:00"/>
    <n v="32"/>
    <d v="2020-06-18T00:00:00"/>
    <s v="Freelance"/>
    <s v="D_002"/>
    <x v="84"/>
    <s v="Full-Time"/>
    <s v="MGR102"/>
    <n v="580000"/>
    <n v="50000"/>
    <n v="630000"/>
    <n v="7"/>
    <n v="4.0999999999999996"/>
    <n v="97.5"/>
    <n v="2"/>
    <s v="Yes"/>
    <s v="Low"/>
    <s v="NA"/>
    <s v="Active"/>
    <s v="ritu"/>
    <s v="saxena"/>
    <s v="Ritu Saxena"/>
    <s v="RS016"/>
    <x v="4"/>
    <n v="630000"/>
    <s v="Low"/>
    <s v="F"/>
    <s v="Bachelor"/>
    <s v="Mumbai"/>
    <s v="West"/>
    <s v="Not Eligible"/>
  </r>
  <r>
    <s v="EMP042"/>
    <d v="1994-08-07T00:00:00"/>
    <n v="30"/>
    <d v="2022-06-29T00:00:00"/>
    <s v="Job Portal"/>
    <s v="D_004"/>
    <x v="85"/>
    <s v="Full-Time"/>
    <s v="MGR104"/>
    <n v="580000"/>
    <n v="50000"/>
    <n v="630000"/>
    <n v="5"/>
    <n v="4"/>
    <n v="95.5"/>
    <n v="1"/>
    <s v="Yes"/>
    <s v="Low"/>
    <s v="NA"/>
    <s v="Active"/>
    <s v="sonali"/>
    <s v="patil"/>
    <s v="Sonali Patil"/>
    <s v="SP042"/>
    <x v="5"/>
    <n v="630000"/>
    <s v="Low"/>
    <s v="Female"/>
    <s v="Bachelor"/>
    <s v="Pune"/>
    <s v="West"/>
    <s v="Not Eligible"/>
  </r>
  <r>
    <s v="EMP010"/>
    <d v="1994-10-12T00:00:00"/>
    <n v="30"/>
    <d v="2022-08-20T00:00:00"/>
    <s v="Job Portal"/>
    <s v="D_004"/>
    <x v="86"/>
    <s v="Full-Time"/>
    <s v="MGR104"/>
    <n v="580000"/>
    <n v="48000"/>
    <n v="628000"/>
    <n v="5"/>
    <n v="4"/>
    <n v="96.2"/>
    <n v="2"/>
    <s v="Yes"/>
    <s v="Low"/>
    <s v="NA"/>
    <s v="Active"/>
    <s v="deepa"/>
    <s v="iyer"/>
    <s v="Deepa Iyer"/>
    <s v="DI010"/>
    <x v="5"/>
    <n v="628000"/>
    <s v="Low"/>
    <s v="Female"/>
    <s v="Master"/>
    <s v="Mumbai"/>
    <s v="West"/>
    <s v="Not Eligible"/>
  </r>
  <r>
    <s v="EMP054"/>
    <d v="1994-04-23T00:00:00"/>
    <n v="30"/>
    <d v="2022-09-25T00:00:00"/>
    <s v="Referral"/>
    <s v="D_004"/>
    <x v="87"/>
    <s v="Full-Time"/>
    <s v="MGR104"/>
    <n v="560000"/>
    <n v="48000"/>
    <n v="608000"/>
    <n v="5"/>
    <n v="3.9"/>
    <n v="94.2"/>
    <n v="2"/>
    <s v="Yes"/>
    <s v="Medium"/>
    <s v="NA"/>
    <s v="Active"/>
    <s v="seema"/>
    <s v="chopra"/>
    <s v="Seema Chopra"/>
    <s v="SC054"/>
    <x v="5"/>
    <n v="608000"/>
    <s v="Low"/>
    <s v="Female"/>
    <s v="Bachelor"/>
    <s v="Pune"/>
    <s v="West"/>
    <s v="Not Eligible"/>
  </r>
  <r>
    <s v="EMP034"/>
    <d v="1994-01-05T00:00:00"/>
    <n v="30"/>
    <d v="2022-08-27T00:00:00"/>
    <s v="Job Portal"/>
    <s v="D_002"/>
    <x v="88"/>
    <s v="Full-Time"/>
    <s v="MGR102"/>
    <n v="560000"/>
    <n v="48000"/>
    <n v="608000"/>
    <n v="5"/>
    <n v="3.9"/>
    <n v="94.8"/>
    <n v="1"/>
    <s v="Yes"/>
    <s v="Medium"/>
    <s v="NA"/>
    <s v="Active"/>
    <s v="isha"/>
    <s v="khanna"/>
    <s v="Isha Khanna"/>
    <s v="IK034"/>
    <x v="4"/>
    <n v="608000"/>
    <s v="Low"/>
    <s v="Female"/>
    <s v="Bachelor"/>
    <s v="Noida"/>
    <s v="North"/>
    <s v="Not Eligible"/>
  </r>
  <r>
    <s v="EMP066"/>
    <d v="1994-05-28T00:00:00"/>
    <n v="30"/>
    <d v="2022-07-21T00:00:00"/>
    <s v="Freelance"/>
    <s v="D_004"/>
    <x v="89"/>
    <s v="Full-Time"/>
    <s v="MGR104"/>
    <n v="550000"/>
    <n v="46000"/>
    <n v="596000"/>
    <n v="5"/>
    <n v="3.8"/>
    <n v="93.8"/>
    <n v="1"/>
    <s v="Yes"/>
    <s v="Medium"/>
    <s v="NA"/>
    <s v="Active"/>
    <s v="lakshmi"/>
    <s v="menon"/>
    <s v="Lakshmi Menon"/>
    <s v="LM066"/>
    <x v="5"/>
    <n v="596000"/>
    <s v="Low"/>
    <s v="Female"/>
    <s v="Bachelor"/>
    <s v="Chennai"/>
    <s v="South"/>
    <s v="Not Eligible"/>
  </r>
  <r>
    <s v="EMP030"/>
    <d v="1995-08-20T00:00:00"/>
    <n v="29"/>
    <d v="2023-02-12T00:00:00"/>
    <s v="LinkedIn"/>
    <s v="D_004"/>
    <x v="90"/>
    <s v="Full-Time"/>
    <s v="MGR104"/>
    <n v="550000"/>
    <n v="45000"/>
    <n v="595000"/>
    <n v="4"/>
    <n v="3.8"/>
    <n v="93.2"/>
    <n v="1"/>
    <s v="Yes"/>
    <s v="Medium"/>
    <s v="NA"/>
    <s v="Active"/>
    <s v="shweta"/>
    <s v="bhatt"/>
    <s v="Shweta Bhatt"/>
    <s v="SB030"/>
    <x v="5"/>
    <n v="595000"/>
    <s v="Low"/>
    <s v="Female"/>
    <s v="Education_Level"/>
    <s v="Delhi"/>
    <s v="North"/>
    <s v="Not Eligible"/>
  </r>
  <r>
    <s v="EMP046"/>
    <d v="1995-06-25T00:00:00"/>
    <n v="29"/>
    <d v="2023-01-13T00:00:00"/>
    <s v="Campus"/>
    <s v="D_001"/>
    <x v="91"/>
    <s v="Full-Time"/>
    <s v="MGR101"/>
    <n v="540000"/>
    <n v="42000"/>
    <n v="582000"/>
    <n v="4"/>
    <n v="3.8"/>
    <n v="93.7"/>
    <n v="1"/>
    <s v="Yes"/>
    <s v="Medium"/>
    <s v="NA"/>
    <s v="Active"/>
    <s v="shruti"/>
    <s v="rao"/>
    <s v="Shruti Rao"/>
    <s v="SR046"/>
    <x v="1"/>
    <n v="582000"/>
    <s v="Low"/>
    <s v="Female"/>
    <s v="Master"/>
    <s v="Delhi"/>
    <s v="North"/>
    <s v="Not Eligible"/>
  </r>
  <r>
    <s v="EMP072"/>
    <d v="1992-08-11T00:00:00"/>
    <n v="32"/>
    <d v="2020-05-19T00:00:00"/>
    <s v="LinkedIn"/>
    <s v="D_004"/>
    <x v="92"/>
    <s v="Contract"/>
    <s v="MGR104"/>
    <n v="520000"/>
    <n v="42000"/>
    <n v="562000"/>
    <n v="7"/>
    <n v="3.7"/>
    <n v="92.7"/>
    <n v="1"/>
    <s v="No"/>
    <s v="High"/>
    <s v="NA"/>
    <s v="Active"/>
    <s v="vidya"/>
    <s v="mishra"/>
    <s v="Vidya Mishra"/>
    <s v="VM072"/>
    <x v="5"/>
    <n v="562000"/>
    <s v="Low"/>
    <s v="Female"/>
    <s v="Master"/>
    <s v="Pune"/>
    <s v="West"/>
    <s v="Not Eligible"/>
  </r>
  <r>
    <s v="EMP014"/>
    <d v="1995-03-16T00:00:00"/>
    <n v="29"/>
    <d v="2023-01-14T00:00:00"/>
    <s v="LinkedIn"/>
    <s v="D_001"/>
    <x v="93"/>
    <s v="Full-Time"/>
    <s v="MGR101"/>
    <n v="520000"/>
    <n v="40000"/>
    <n v="560000"/>
    <n v="4"/>
    <n v="3.8"/>
    <n v="94"/>
    <n v="1"/>
    <s v="Yes"/>
    <s v="Medium"/>
    <s v="NA"/>
    <s v="Active"/>
    <s v="neha"/>
    <s v="verma"/>
    <s v="Neha Verma"/>
    <s v="NV014"/>
    <x v="1"/>
    <n v="560000"/>
    <s v="Low"/>
    <s v="Female"/>
    <s v="Master"/>
    <s v="Bangalore"/>
    <s v="South"/>
    <s v="Not Eligible"/>
  </r>
  <r>
    <s v="EMP038"/>
    <d v="1993-11-11T00:00:00"/>
    <n v="31"/>
    <d v="2021-09-18T00:00:00"/>
    <s v="Campus"/>
    <s v="D_003"/>
    <x v="94"/>
    <s v="Contract"/>
    <s v="MGR106"/>
    <n v="490000"/>
    <n v="38000"/>
    <n v="528000"/>
    <n v="6"/>
    <n v="3.7"/>
    <n v="92.5"/>
    <n v="1"/>
    <s v="No"/>
    <s v="High"/>
    <s v="NA"/>
    <s v="Active"/>
    <s v="rekha"/>
    <s v="pillai"/>
    <s v="Rekha Pillai"/>
    <s v="RP038"/>
    <x v="2"/>
    <n v="607200"/>
    <s v="Low"/>
    <s v="Female"/>
    <s v="Bachelor"/>
    <s v="Mumbai"/>
    <s v="West"/>
    <s v="Not Eligible"/>
  </r>
  <r>
    <s v="EMP058"/>
    <d v="1995-11-20T00:00:00"/>
    <n v="29"/>
    <d v="2023-02-19T00:00:00"/>
    <s v="Referral"/>
    <s v="D_001"/>
    <x v="95"/>
    <s v="Contract"/>
    <s v="MGR101"/>
    <n v="480000"/>
    <n v="36000"/>
    <n v="516000"/>
    <n v="4"/>
    <n v="3.7"/>
    <n v="92.3"/>
    <n v="1"/>
    <s v="No"/>
    <s v="High"/>
    <s v="NA"/>
    <s v="Active"/>
    <s v="ritika"/>
    <s v="bhatt"/>
    <s v="Ritika Bhatt"/>
    <s v="RB058"/>
    <x v="1"/>
    <n v="516000"/>
    <s v="Low"/>
    <s v="Female"/>
    <s v="Master"/>
    <s v="Noida"/>
    <s v="North"/>
    <s v="Not Eligible"/>
  </r>
  <r>
    <s v="EMP008"/>
    <d v="1993-02-08T00:00:00"/>
    <m/>
    <d v="2021-05-17T00:00:00"/>
    <s v="Freelance"/>
    <s v="D_002"/>
    <x v="96"/>
    <s v="Contract"/>
    <s v="MGR102"/>
    <n v="480000"/>
    <n v="35000"/>
    <n v="515000"/>
    <n v="6"/>
    <n v="3.9"/>
    <n v="93.5"/>
    <n v="1"/>
    <s v="No"/>
    <s v="High"/>
    <s v="NA"/>
    <s v="Active"/>
    <s v="kavita"/>
    <s v="joshi"/>
    <s v="Kavita Joshi"/>
    <s v="KJ008"/>
    <x v="4"/>
    <n v="515000"/>
    <s v="Low"/>
    <s v="Female"/>
    <s v="Bachelor"/>
    <s v="Bangalore"/>
    <s v="South"/>
    <s v="Not Eligible"/>
  </r>
  <r>
    <s v="EMP048"/>
    <d v="1992-07-18T00:00:00"/>
    <n v="32"/>
    <d v="2020-12-16T00:00:00"/>
    <s v="Job Portal"/>
    <s v="D_004"/>
    <x v="97"/>
    <s v="Contract"/>
    <s v="MGR104"/>
    <n v="470000"/>
    <n v="35000"/>
    <n v="505000"/>
    <n v="7"/>
    <n v="3.6"/>
    <n v="91.8"/>
    <n v="1"/>
    <s v="No"/>
    <s v="High"/>
    <s v="NA"/>
    <s v="Active"/>
    <s v="geeta"/>
    <s v="saxena"/>
    <s v="Geeta Saxena"/>
    <s v="GS048"/>
    <x v="5"/>
    <n v="505000"/>
    <s v="Low"/>
    <s v="Female"/>
    <s v="Bachelor"/>
    <s v="Hyderabad"/>
    <s v="South"/>
    <s v="Not Eligible"/>
  </r>
  <r>
    <s v="EMP088"/>
    <d v="1995-09-29T00:00:00"/>
    <n v="29"/>
    <d v="2023-02-22T00:00:00"/>
    <s v="Referral"/>
    <s v="D_002"/>
    <x v="98"/>
    <s v="Contract"/>
    <s v="MGR102"/>
    <n v="460000"/>
    <n v="34000"/>
    <n v="494000"/>
    <n v="4"/>
    <n v="3.6"/>
    <n v="91.5"/>
    <n v="1"/>
    <s v="No"/>
    <s v="High"/>
    <s v="NA"/>
    <s v="Active"/>
    <s v="sonal"/>
    <s v="kapoor"/>
    <s v="Sonal Kapoor"/>
    <s v="SK088"/>
    <x v="4"/>
    <n v="494000"/>
    <s v="Low"/>
    <s v="Female"/>
    <s v="Bachelor"/>
    <s v="Mumbai"/>
    <s v="West"/>
    <s v="Not Eligible"/>
  </r>
  <r>
    <s v="EMP018"/>
    <d v="1993-08-28T00:00:00"/>
    <n v="31"/>
    <d v="2021-02-22T00:00:00"/>
    <s v="Job Portal"/>
    <s v="D_004"/>
    <x v="99"/>
    <s v="Contract"/>
    <s v="MGR104"/>
    <n v="450000"/>
    <n v="32000"/>
    <n v="482000"/>
    <n v="6"/>
    <n v="3.6"/>
    <n v="91.2"/>
    <n v="1"/>
    <s v="No"/>
    <s v="High"/>
    <s v="NA"/>
    <s v="Active"/>
    <s v="meera"/>
    <s v="bhat"/>
    <s v="Meera Bhat"/>
    <s v="MB018"/>
    <x v="5"/>
    <n v="482000"/>
    <s v="Low"/>
    <s v="Female"/>
    <s v="Master"/>
    <s v="Pune"/>
    <s v="West"/>
    <s v="Not Eligib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MP075"/>
    <d v="1985-10-19T00:00:00"/>
    <x v="0"/>
    <x v="0"/>
    <x v="0"/>
    <s v="D_006"/>
    <x v="0"/>
    <s v="Full-Time"/>
    <s v="MGR103"/>
    <n v="1450000"/>
    <n v="165000"/>
    <n v="1615000"/>
    <n v="19"/>
    <n v="4.8"/>
    <n v="99.1"/>
    <n v="4"/>
    <x v="0"/>
    <s v="Low"/>
    <n v="43819"/>
    <s v="Active"/>
    <s v="vinay"/>
    <s v="reddy"/>
    <s v="Vinay Reddy"/>
    <s v="VR075"/>
    <x v="0"/>
    <n v="1615000"/>
    <s v="High"/>
    <x v="0"/>
    <s v="Bachelor"/>
    <x v="0"/>
    <x v="0"/>
    <s v="Eligible"/>
  </r>
  <r>
    <s v="EMP019"/>
    <d v="1985-09-11T00:00:00"/>
    <x v="0"/>
    <x v="1"/>
    <x v="1"/>
    <s v="D_001"/>
    <x v="1"/>
    <s v="Full-Time"/>
    <s v="MGR101"/>
    <n v="1450000"/>
    <n v="165000"/>
    <n v="1615000"/>
    <n v="17"/>
    <n v="4.8"/>
    <n v="99.2"/>
    <n v="5"/>
    <x v="0"/>
    <s v="Low"/>
    <n v="43905"/>
    <s v="Active"/>
    <s v="anil"/>
    <s v="chopra"/>
    <s v="Anil Chopra"/>
    <s v="AC019"/>
    <x v="1"/>
    <n v="1615000"/>
    <s v="High"/>
    <x v="0"/>
    <s v="Master"/>
    <x v="1"/>
    <x v="1"/>
    <s v="Eligible"/>
  </r>
  <r>
    <s v="EMP097"/>
    <d v="1986-02-19T00:00:00"/>
    <x v="1"/>
    <x v="2"/>
    <x v="0"/>
    <s v="D_003"/>
    <x v="2"/>
    <s v="Full-Time"/>
    <s v="MGR106"/>
    <n v="1380000"/>
    <n v="158000"/>
    <n v="1538000"/>
    <n v="18"/>
    <n v="4.8"/>
    <n v="99"/>
    <n v="4"/>
    <x v="0"/>
    <s v="Low"/>
    <n v="43971"/>
    <s v="Active"/>
    <s v="rohit"/>
    <s v="agarwal"/>
    <s v="Rohit Agarwal"/>
    <s v="RA097"/>
    <x v="2"/>
    <n v="1768700"/>
    <s v="High"/>
    <x v="0"/>
    <s v="Master"/>
    <x v="2"/>
    <x v="0"/>
    <s v="Eligible"/>
  </r>
  <r>
    <s v="EMP005"/>
    <d v="1987-12-18T00:00:00"/>
    <x v="2"/>
    <x v="3"/>
    <x v="2"/>
    <s v="D_005"/>
    <x v="3"/>
    <s v="Full-Time"/>
    <s v="MGR105"/>
    <n v="1100000"/>
    <n v="120000"/>
    <n v="1220000"/>
    <n v="15"/>
    <n v="4.7"/>
    <n v="99"/>
    <n v="4"/>
    <x v="0"/>
    <s v="Low"/>
    <n v="44397"/>
    <s v="Active"/>
    <s v="vikram"/>
    <s v="singh"/>
    <s v="Vikram Singh"/>
    <s v="VS005"/>
    <x v="3"/>
    <n v="1220000"/>
    <s v="High"/>
    <x v="0"/>
    <s v="Bachelor"/>
    <x v="3"/>
    <x v="2"/>
    <s v="Eligible"/>
  </r>
  <r>
    <s v="EMP047"/>
    <d v="1985-11-04T00:00:00"/>
    <x v="0"/>
    <x v="4"/>
    <x v="3"/>
    <s v="D_005"/>
    <x v="4"/>
    <s v="Full-Time"/>
    <s v="MGR105"/>
    <n v="1080000"/>
    <n v="115000"/>
    <n v="1195000"/>
    <n v="18"/>
    <n v="4.5999999999999996"/>
    <n v="98.6"/>
    <n v="4"/>
    <x v="0"/>
    <s v="Low"/>
    <n v="43931"/>
    <s v="Active"/>
    <s v="rajeev"/>
    <s v="bose"/>
    <s v="Rajeev Bose"/>
    <s v="RB047"/>
    <x v="3"/>
    <n v="1195000"/>
    <s v="High"/>
    <x v="0"/>
    <s v="Bachelor"/>
    <x v="3"/>
    <x v="2"/>
    <s v="Eligible"/>
  </r>
  <r>
    <s v="EMP041"/>
    <d v="1990-05-22T00:00:00"/>
    <x v="3"/>
    <x v="5"/>
    <x v="4"/>
    <s v="D_001"/>
    <x v="5"/>
    <s v="Full-Time"/>
    <s v="MGR101"/>
    <n v="1050000"/>
    <n v="110000"/>
    <n v="1160000"/>
    <n v="11"/>
    <n v="4.7"/>
    <n v="98.9"/>
    <n v="5"/>
    <x v="1"/>
    <s v="Low"/>
    <n v="44885"/>
    <s v="Active"/>
    <s v="varun"/>
    <s v="kapoor"/>
    <s v="Varun Kapoor"/>
    <s v="VK041"/>
    <x v="1"/>
    <n v="1160000"/>
    <s v="High"/>
    <x v="0"/>
    <s v="Bachelor"/>
    <x v="1"/>
    <x v="1"/>
    <s v="Eligible"/>
  </r>
  <r>
    <s v="EMP009"/>
    <d v="1986-08-30T00:00:00"/>
    <x v="4"/>
    <x v="6"/>
    <x v="0"/>
    <s v="D_006"/>
    <x v="6"/>
    <s v="Full-Time"/>
    <s v="MGR103"/>
    <n v="1050000"/>
    <n v="105000"/>
    <n v="1155000"/>
    <n v="16"/>
    <n v="4.5999999999999996"/>
    <n v="98.5"/>
    <n v="3"/>
    <x v="0"/>
    <s v="Low"/>
    <n v="43871"/>
    <s v="Active"/>
    <s v="suresh"/>
    <s v="nair"/>
    <s v="Suresh Nair"/>
    <s v="SN009"/>
    <x v="0"/>
    <n v="1155000"/>
    <s v="High"/>
    <x v="0"/>
    <s v="Master"/>
    <x v="0"/>
    <x v="0"/>
    <s v="Eligible"/>
  </r>
  <r>
    <s v="EMP079"/>
    <d v="1989-01-08T00:00:00"/>
    <x v="5"/>
    <x v="7"/>
    <x v="1"/>
    <s v="D_003"/>
    <x v="7"/>
    <s v="Full-Time"/>
    <s v="MGR106"/>
    <n v="1020000"/>
    <n v="125000"/>
    <n v="1145000"/>
    <n v="12"/>
    <n v="4.7"/>
    <n v="98.6"/>
    <n v="3"/>
    <x v="1"/>
    <s v="Low"/>
    <n v="45163"/>
    <s v="Active"/>
    <s v="nikhil"/>
    <s v="chopra"/>
    <s v="Nikhil Chopra"/>
    <s v="NC079"/>
    <x v="2"/>
    <n v="1316750"/>
    <s v="High"/>
    <x v="0"/>
    <s v="Master"/>
    <x v="4"/>
    <x v="0"/>
    <s v="Eligible"/>
  </r>
  <r>
    <s v="EMP051"/>
    <d v="1986-05-05T00:00:00"/>
    <x v="4"/>
    <x v="8"/>
    <x v="4"/>
    <s v="D_006"/>
    <x v="8"/>
    <s v="Full-Time"/>
    <s v="MGR103"/>
    <n v="980000"/>
    <n v="98000"/>
    <n v="1078000"/>
    <n v="16"/>
    <n v="4.5"/>
    <n v="98.2"/>
    <n v="3"/>
    <x v="0"/>
    <s v="Low"/>
    <n v="44216"/>
    <s v="Active"/>
    <s v="ramesh"/>
    <s v="pillai"/>
    <s v="Ramesh Pillai"/>
    <s v="RP051"/>
    <x v="0"/>
    <n v="1078000"/>
    <s v="High"/>
    <x v="0"/>
    <s v="Master"/>
    <x v="0"/>
    <x v="0"/>
    <s v="Eligible"/>
  </r>
  <r>
    <s v="EMP077"/>
    <d v="1988-05-13T00:00:00"/>
    <x v="6"/>
    <x v="9"/>
    <x v="3"/>
    <s v="D_001"/>
    <x v="9"/>
    <s v="Full-Time"/>
    <s v="MGR101"/>
    <n v="980000"/>
    <n v="98000"/>
    <n v="1078000"/>
    <n v="13"/>
    <n v="4.5999999999999996"/>
    <n v="98.4"/>
    <n v="4"/>
    <x v="1"/>
    <s v="Low"/>
    <n v="44885"/>
    <s v="Active"/>
    <s v="rajat"/>
    <s v="verma"/>
    <s v="Rajat Verma"/>
    <s v="RV077"/>
    <x v="1"/>
    <n v="1078000"/>
    <s v="High"/>
    <x v="0"/>
    <s v="Master"/>
    <x v="5"/>
    <x v="1"/>
    <s v="Eligible"/>
  </r>
  <r>
    <s v="EMP025"/>
    <d v="1990-11-29T00:00:00"/>
    <x v="3"/>
    <x v="10"/>
    <x v="1"/>
    <s v="D_003"/>
    <x v="10"/>
    <s v="Full-Time"/>
    <s v="MGR106"/>
    <n v="950000"/>
    <n v="115000"/>
    <n v="1065000"/>
    <n v="10"/>
    <n v="4.5"/>
    <n v="97.8"/>
    <n v="2"/>
    <x v="1"/>
    <s v="Low"/>
    <n v="44995"/>
    <s v="Active"/>
    <s v="gaurav"/>
    <s v="pandey"/>
    <s v="Gaurav Pandey"/>
    <s v="GP025"/>
    <x v="2"/>
    <n v="1224750"/>
    <s v="High"/>
    <x v="0"/>
    <s v="Master"/>
    <x v="4"/>
    <x v="0"/>
    <s v="Not Eligible"/>
  </r>
  <r>
    <s v="EMP061"/>
    <d v="1988-12-27T00:00:00"/>
    <x v="6"/>
    <x v="11"/>
    <x v="0"/>
    <s v="D_003"/>
    <x v="11"/>
    <s v="Full-Time"/>
    <s v="MGR106"/>
    <n v="940000"/>
    <n v="112000"/>
    <n v="1052000"/>
    <n v="13"/>
    <n v="4.5"/>
    <n v="98.1"/>
    <n v="3"/>
    <x v="1"/>
    <s v="Low"/>
    <n v="44788"/>
    <s v="Active"/>
    <s v="siddharth"/>
    <s v="mehta"/>
    <s v="Siddharth Mehta"/>
    <s v="SM061"/>
    <x v="2"/>
    <n v="1209800"/>
    <s v="High"/>
    <x v="0"/>
    <s v="Bachelor"/>
    <x v="5"/>
    <x v="1"/>
    <s v="Eligible"/>
  </r>
  <r>
    <s v="EMP002"/>
    <d v="1990-07-22T00:00:00"/>
    <x v="3"/>
    <x v="12"/>
    <x v="3"/>
    <s v="D_002"/>
    <x v="12"/>
    <s v="Full-Time"/>
    <s v="MGR102"/>
    <n v="950000"/>
    <n v="95000"/>
    <n v="1045000"/>
    <n v="10"/>
    <n v="4.3"/>
    <n v="98.2"/>
    <n v="2"/>
    <x v="1"/>
    <s v="Low"/>
    <n v="45087"/>
    <s v="Active"/>
    <s v="priya"/>
    <s v="sharma"/>
    <s v="Priya Sharma"/>
    <s v="PS002"/>
    <x v="4"/>
    <n v="1045000"/>
    <s v="High"/>
    <x v="1"/>
    <s v="Bachelor"/>
    <x v="5"/>
    <x v="1"/>
    <s v="Not Eligible"/>
  </r>
  <r>
    <s v="EMP092"/>
    <d v="1993-07-18T00:00:00"/>
    <x v="7"/>
    <x v="13"/>
    <x v="1"/>
    <s v="D_001"/>
    <x v="13"/>
    <s v="Full-Time"/>
    <s v="MGR101"/>
    <n v="950000"/>
    <n v="95000"/>
    <n v="1045000"/>
    <n v="6"/>
    <n v="4.5999999999999996"/>
    <n v="98.3"/>
    <n v="4"/>
    <x v="1"/>
    <s v="Low"/>
    <s v="NA"/>
    <s v="Active"/>
    <s v="kavita"/>
    <s v="pillai"/>
    <s v="Kavita Pillai"/>
    <s v="KP092"/>
    <x v="1"/>
    <n v="1045000"/>
    <s v="High"/>
    <x v="1"/>
    <s v="Bachelor"/>
    <x v="2"/>
    <x v="0"/>
    <s v="Not Eligible"/>
  </r>
  <r>
    <s v="EMP036"/>
    <d v="1991-09-09T00:00:00"/>
    <x v="8"/>
    <x v="14"/>
    <x v="0"/>
    <s v="D_004"/>
    <x v="14"/>
    <s v="Full-Time"/>
    <s v="MGR104"/>
    <n v="920000"/>
    <n v="95000"/>
    <n v="1015000"/>
    <n v="9"/>
    <n v="4.5999999999999996"/>
    <n v="98.7"/>
    <n v="3"/>
    <x v="1"/>
    <s v="Low"/>
    <s v="NA"/>
    <s v="Active"/>
    <s v="pallavi"/>
    <s v="nambiar"/>
    <s v="Pallavi Nambiar"/>
    <s v="PN036"/>
    <x v="5"/>
    <n v="1015000"/>
    <s v="High"/>
    <x v="1"/>
    <s v="Bachelor"/>
    <x v="3"/>
    <x v="2"/>
    <s v="Eligible"/>
  </r>
  <r>
    <s v="EMP011"/>
    <d v="1984-01-03T00:00:00"/>
    <x v="9"/>
    <x v="15"/>
    <x v="4"/>
    <s v="D_001"/>
    <x v="15"/>
    <s v="Full-Time"/>
    <s v="MGR101"/>
    <n v="920000"/>
    <n v="92000"/>
    <n v="1012000"/>
    <n v="18"/>
    <n v="4.4000000000000004"/>
    <n v="97.3"/>
    <n v="4"/>
    <x v="0"/>
    <s v="Low"/>
    <n v="43819"/>
    <s v="Active"/>
    <s v="manoj"/>
    <s v="gupta"/>
    <s v="Manoj Gupta"/>
    <s v="MG011"/>
    <x v="1"/>
    <n v="1012000"/>
    <s v="High"/>
    <x v="0"/>
    <s v="Bachelor"/>
    <x v="1"/>
    <x v="1"/>
    <s v="Eligible"/>
  </r>
  <r>
    <s v="EMP059"/>
    <d v="1986-03-08T00:00:00"/>
    <x v="4"/>
    <x v="16"/>
    <x v="1"/>
    <s v="D_005"/>
    <x v="16"/>
    <s v="Full-Time"/>
    <s v="MGR105"/>
    <n v="920000"/>
    <n v="92000"/>
    <n v="1012000"/>
    <n v="17"/>
    <n v="4.4000000000000004"/>
    <n v="97.9"/>
    <n v="3"/>
    <x v="0"/>
    <s v="Low"/>
    <n v="44119"/>
    <s v="Active"/>
    <s v="alok"/>
    <s v="sinha"/>
    <s v="Alok Sinha"/>
    <s v="AS059"/>
    <x v="3"/>
    <n v="1012000"/>
    <s v="High"/>
    <x v="0"/>
    <s v="Master"/>
    <x v="0"/>
    <x v="0"/>
    <s v="Eligible"/>
  </r>
  <r>
    <s v="EMP093"/>
    <d v="1987-10-30T00:00:00"/>
    <x v="2"/>
    <x v="17"/>
    <x v="4"/>
    <s v="D_006"/>
    <x v="17"/>
    <s v="Full-Time"/>
    <s v="MGR103"/>
    <n v="920000"/>
    <n v="92000"/>
    <n v="1012000"/>
    <n v="15"/>
    <n v="4.5"/>
    <n v="98"/>
    <n v="3"/>
    <x v="1"/>
    <s v="Low"/>
    <n v="44367"/>
    <s v="Active"/>
    <s v="dinesh"/>
    <s v="reddy"/>
    <s v="Dinesh Reddy"/>
    <s v="DR093"/>
    <x v="0"/>
    <n v="1012000"/>
    <s v="High"/>
    <x v="0"/>
    <s v="Master"/>
    <x v="5"/>
    <x v="1"/>
    <s v="Eligible"/>
  </r>
  <r>
    <s v="EMP096"/>
    <d v="1991-12-07T00:00:00"/>
    <x v="8"/>
    <x v="18"/>
    <x v="4"/>
    <s v="D_001"/>
    <x v="18"/>
    <s v="Full-Time"/>
    <s v="MGR101"/>
    <n v="920000"/>
    <n v="92000"/>
    <n v="1012000"/>
    <n v="9"/>
    <n v="4.5"/>
    <n v="98.1"/>
    <n v="4"/>
    <x v="1"/>
    <s v="Low"/>
    <n v="45214"/>
    <s v="Active"/>
    <s v="anjana"/>
    <s v="nair"/>
    <s v="Anjana Nair"/>
    <s v="AN096"/>
    <x v="1"/>
    <n v="1012000"/>
    <s v="High"/>
    <x v="1"/>
    <s v="Master"/>
    <x v="1"/>
    <x v="1"/>
    <s v="Eligible"/>
  </r>
  <r>
    <s v="EMP082"/>
    <d v="1994-07-15T00:00:00"/>
    <x v="10"/>
    <x v="19"/>
    <x v="1"/>
    <s v="D_001"/>
    <x v="19"/>
    <s v="Full-Time"/>
    <s v="MGR101"/>
    <n v="920000"/>
    <n v="92000"/>
    <n v="1012000"/>
    <n v="5"/>
    <n v="4.5"/>
    <n v="97.8"/>
    <n v="3"/>
    <x v="1"/>
    <s v="Low"/>
    <s v="NA"/>
    <s v="Active"/>
    <s v="namita"/>
    <s v="rao"/>
    <s v="Namita Rao"/>
    <s v="NR082"/>
    <x v="1"/>
    <n v="1012000"/>
    <s v="High"/>
    <x v="1"/>
    <s v="Master"/>
    <x v="1"/>
    <x v="1"/>
    <s v="Not Eligible"/>
  </r>
  <r>
    <s v="EMP049"/>
    <d v="1988-02-26T00:00:00"/>
    <x v="6"/>
    <x v="20"/>
    <x v="4"/>
    <s v="D_003"/>
    <x v="20"/>
    <s v="Full-Time"/>
    <s v="MGR106"/>
    <n v="890000"/>
    <n v="105000"/>
    <n v="995000"/>
    <n v="14"/>
    <n v="4.4000000000000004"/>
    <n v="97.5"/>
    <n v="3"/>
    <x v="1"/>
    <s v="Low"/>
    <n v="44459"/>
    <s v="Active"/>
    <s v="sunil"/>
    <s v="agarwal"/>
    <s v="Sunil Agarwal"/>
    <s v="SA049"/>
    <x v="2"/>
    <n v="1144250"/>
    <s v="Medium"/>
    <x v="0"/>
    <s v="Bachelor"/>
    <x v="2"/>
    <x v="0"/>
    <s v="Eligible"/>
  </r>
  <r>
    <s v="EMP007"/>
    <d v="1989-06-14T00:00:00"/>
    <x v="5"/>
    <x v="21"/>
    <x v="1"/>
    <s v="D_003"/>
    <x v="21"/>
    <s v="Full-Time"/>
    <s v="MGR106"/>
    <n v="880000"/>
    <n v="110000"/>
    <n v="990000"/>
    <n v="11"/>
    <n v="4.3"/>
    <n v="96.7"/>
    <n v="1"/>
    <x v="1"/>
    <s v="Medium"/>
    <n v="44880"/>
    <s v="Active"/>
    <s v="rahul"/>
    <s v="mehta"/>
    <s v="Rahul Mehta"/>
    <s v="RM007"/>
    <x v="2"/>
    <n v="1138500"/>
    <s v="Medium"/>
    <x v="0"/>
    <s v="Bachelor"/>
    <x v="5"/>
    <x v="1"/>
    <s v="Not Eligible"/>
  </r>
  <r>
    <s v="EMP099"/>
    <d v="1988-06-14T00:00:00"/>
    <x v="6"/>
    <x v="22"/>
    <x v="0"/>
    <s v="D_006"/>
    <x v="22"/>
    <s v="Full-Time"/>
    <s v="MGR103"/>
    <n v="890000"/>
    <n v="88000"/>
    <n v="978000"/>
    <n v="13"/>
    <n v="4.4000000000000004"/>
    <n v="97.6"/>
    <n v="3"/>
    <x v="1"/>
    <s v="Low"/>
    <n v="44885"/>
    <s v="Active"/>
    <s v="vikas"/>
    <s v="sharma"/>
    <s v="Vikas Sharma"/>
    <s v="VS099"/>
    <x v="0"/>
    <n v="978000"/>
    <s v="Medium"/>
    <x v="0"/>
    <s v="Master"/>
    <x v="3"/>
    <x v="2"/>
    <s v="Eligible"/>
  </r>
  <r>
    <s v="EMP029"/>
    <d v="1988-12-08T00:00:00"/>
    <x v="1"/>
    <x v="23"/>
    <x v="3"/>
    <s v="D_005"/>
    <x v="23"/>
    <s v="Full-Time"/>
    <s v="MGR105"/>
    <n v="890000"/>
    <n v="88000"/>
    <n v="978000"/>
    <n v="13"/>
    <n v="4.3"/>
    <n v="98"/>
    <n v="3"/>
    <x v="1"/>
    <s v="Low"/>
    <n v="44732"/>
    <s v="Active"/>
    <s v="nitin"/>
    <s v="jain"/>
    <s v="Nitin Jain"/>
    <s v="NJ029"/>
    <x v="3"/>
    <n v="978000"/>
    <s v="Medium"/>
    <x v="0"/>
    <s v="Bachelor"/>
    <x v="3"/>
    <x v="2"/>
    <s v="Eligible"/>
  </r>
  <r>
    <s v="EMP091"/>
    <d v="1989-01-06T00:00:00"/>
    <x v="5"/>
    <x v="24"/>
    <x v="3"/>
    <s v="D_003"/>
    <x v="24"/>
    <s v="Full-Time"/>
    <s v="MGR106"/>
    <n v="870000"/>
    <n v="98000"/>
    <n v="968000"/>
    <n v="12"/>
    <n v="4.4000000000000004"/>
    <n v="97.4"/>
    <n v="2"/>
    <x v="1"/>
    <s v="Low"/>
    <n v="44915"/>
    <s v="Active"/>
    <s v="sameer"/>
    <s v="bansal"/>
    <s v="Sameer Bansal"/>
    <s v="SB091"/>
    <x v="2"/>
    <n v="1113200"/>
    <s v="Medium"/>
    <x v="0"/>
    <s v="Master"/>
    <x v="3"/>
    <x v="2"/>
    <s v="Not Eligible"/>
  </r>
  <r>
    <s v="EMP037"/>
    <d v="1986-02-28T00:00:00"/>
    <x v="4"/>
    <x v="25"/>
    <x v="1"/>
    <s v="D_001"/>
    <x v="25"/>
    <s v="Full-Time"/>
    <s v="MGR101"/>
    <n v="880000"/>
    <n v="85000"/>
    <n v="965000"/>
    <n v="16"/>
    <n v="4.4000000000000004"/>
    <n v="97.4"/>
    <n v="4"/>
    <x v="0"/>
    <s v="Low"/>
    <n v="44180"/>
    <s v="Active"/>
    <s v="ajay"/>
    <s v="sharma"/>
    <s v="Ajay Sharma"/>
    <s v="AS037"/>
    <x v="1"/>
    <n v="965000"/>
    <s v="Medium"/>
    <x v="0"/>
    <s v="Bachelor"/>
    <x v="2"/>
    <x v="0"/>
    <s v="Eligible"/>
  </r>
  <r>
    <s v="EMP086"/>
    <d v="1991-08-03T00:00:00"/>
    <x v="8"/>
    <x v="26"/>
    <x v="1"/>
    <s v="D_001"/>
    <x v="26"/>
    <s v="Full-Time"/>
    <s v="MGR101"/>
    <n v="880000"/>
    <n v="85000"/>
    <n v="965000"/>
    <n v="9"/>
    <n v="4.4000000000000004"/>
    <n v="97.6"/>
    <n v="3"/>
    <x v="1"/>
    <s v="Low"/>
    <s v="NA"/>
    <s v="Active"/>
    <s v="preeti"/>
    <s v="menon"/>
    <s v="Preeti Menon"/>
    <s v="PM086"/>
    <x v="1"/>
    <n v="965000"/>
    <s v="Medium"/>
    <x v="1"/>
    <s v="Bachelor"/>
    <x v="2"/>
    <x v="0"/>
    <s v="Eligible"/>
  </r>
  <r>
    <s v="EMP031"/>
    <d v="1987-03-01T00:00:00"/>
    <x v="2"/>
    <x v="27"/>
    <x v="1"/>
    <s v="D_003"/>
    <x v="27"/>
    <s v="Full-Time"/>
    <s v="MGR106"/>
    <n v="860000"/>
    <n v="98000"/>
    <n v="958000"/>
    <n v="14"/>
    <n v="4.4000000000000004"/>
    <n v="96.9"/>
    <n v="2"/>
    <x v="1"/>
    <s v="Low"/>
    <n v="44515"/>
    <s v="Active"/>
    <s v="ravi"/>
    <s v="shetty"/>
    <s v="Ravi Shetty"/>
    <s v="RS031"/>
    <x v="2"/>
    <n v="1101700"/>
    <s v="Medium"/>
    <x v="0"/>
    <s v="Bachelor"/>
    <x v="2"/>
    <x v="0"/>
    <s v="Not Eligible"/>
  </r>
  <r>
    <s v="EMP017"/>
    <d v="1987-04-04T00:00:00"/>
    <x v="2"/>
    <x v="28"/>
    <x v="0"/>
    <s v="D_005"/>
    <x v="28"/>
    <s v="Full-Time"/>
    <s v="MGR105"/>
    <n v="870000"/>
    <n v="85000"/>
    <n v="955000"/>
    <n v="14"/>
    <n v="4.3"/>
    <n v="98.1"/>
    <n v="3"/>
    <x v="1"/>
    <s v="Low"/>
    <n v="44489"/>
    <s v="Active"/>
    <s v="sanjay"/>
    <s v="pillai"/>
    <s v="Sanjay Pillai"/>
    <s v="SP017"/>
    <x v="3"/>
    <n v="955000"/>
    <s v="Medium"/>
    <x v="0"/>
    <s v="Bachelor"/>
    <x v="0"/>
    <x v="0"/>
    <s v="Eligible"/>
  </r>
  <r>
    <s v="EMP081"/>
    <d v="1986-11-02T00:00:00"/>
    <x v="4"/>
    <x v="29"/>
    <x v="3"/>
    <s v="D_006"/>
    <x v="29"/>
    <s v="Full-Time"/>
    <s v="MGR103"/>
    <n v="860000"/>
    <n v="82000"/>
    <n v="942000"/>
    <n v="16"/>
    <n v="4.3"/>
    <n v="97.1"/>
    <n v="3"/>
    <x v="0"/>
    <s v="Low"/>
    <n v="44326"/>
    <s v="Active"/>
    <s v="sachin"/>
    <s v="desai"/>
    <s v="Sachin Desai"/>
    <s v="SD081"/>
    <x v="0"/>
    <n v="942000"/>
    <s v="Medium"/>
    <x v="0"/>
    <s v="Bachelor"/>
    <x v="6"/>
    <x v="2"/>
    <s v="Eligible"/>
  </r>
  <r>
    <s v="EMP001"/>
    <d v="1985-03-15T00:00:00"/>
    <x v="0"/>
    <x v="30"/>
    <x v="1"/>
    <s v="D_001"/>
    <x v="30"/>
    <s v="Full-Time"/>
    <s v="MGR101"/>
    <n v="850000"/>
    <n v="85000"/>
    <n v="935000"/>
    <n v="12"/>
    <n v="4.2"/>
    <n v="96.5"/>
    <n v="3"/>
    <x v="1"/>
    <s v="Low"/>
    <n v="44666"/>
    <s v="Active"/>
    <s v="rajesh"/>
    <s v="kumar"/>
    <s v="Rajesh Kumar"/>
    <s v="RK001"/>
    <x v="1"/>
    <n v="935000"/>
    <s v="Medium"/>
    <x v="0"/>
    <s v="Bachelor"/>
    <x v="6"/>
    <x v="2"/>
    <s v="Eligible"/>
  </r>
  <r>
    <s v="EMP089"/>
    <d v="1986-11-11T00:00:00"/>
    <x v="4"/>
    <x v="31"/>
    <x v="1"/>
    <s v="D_005"/>
    <x v="31"/>
    <s v="Full-Time"/>
    <s v="MGR105"/>
    <n v="850000"/>
    <n v="82000"/>
    <n v="932000"/>
    <n v="16"/>
    <n v="4.3"/>
    <n v="97.7"/>
    <n v="3"/>
    <x v="0"/>
    <s v="Low"/>
    <n v="44301"/>
    <s v="Active"/>
    <s v="akash"/>
    <s v="yadav"/>
    <s v="Akash Yadav"/>
    <s v="AY089"/>
    <x v="3"/>
    <n v="932000"/>
    <s v="Medium"/>
    <x v="0"/>
    <s v="Bachelor"/>
    <x v="1"/>
    <x v="1"/>
    <s v="Eligible"/>
  </r>
  <r>
    <s v="EMP035"/>
    <d v="1989-07-17T00:00:00"/>
    <x v="5"/>
    <x v="32"/>
    <x v="3"/>
    <s v="D_005"/>
    <x v="32"/>
    <s v="Full-Time"/>
    <s v="MGR105"/>
    <n v="850000"/>
    <n v="82000"/>
    <n v="932000"/>
    <n v="12"/>
    <n v="4.3"/>
    <n v="97.6"/>
    <n v="3"/>
    <x v="1"/>
    <s v="Low"/>
    <n v="45066"/>
    <s v="Active"/>
    <s v="manish"/>
    <s v="goyal"/>
    <s v="Manish Goyal"/>
    <s v="MG035"/>
    <x v="3"/>
    <n v="932000"/>
    <s v="Medium"/>
    <x v="0"/>
    <s v="Bachelor"/>
    <x v="0"/>
    <x v="0"/>
    <s v="Eligible"/>
  </r>
  <r>
    <s v="EMP095"/>
    <d v="1990-08-25T00:00:00"/>
    <x v="3"/>
    <x v="33"/>
    <x v="1"/>
    <s v="D_004"/>
    <x v="33"/>
    <s v="Full-Time"/>
    <s v="MGR104"/>
    <n v="850000"/>
    <n v="82000"/>
    <n v="932000"/>
    <n v="10"/>
    <n v="4.4000000000000004"/>
    <n v="97.8"/>
    <n v="3"/>
    <x v="1"/>
    <s v="Low"/>
    <s v="NA"/>
    <s v="Active"/>
    <s v="puneet"/>
    <s v="mehta"/>
    <s v="Puneet Mehta"/>
    <s v="PM095"/>
    <x v="5"/>
    <n v="932000"/>
    <s v="Medium"/>
    <x v="0"/>
    <s v="Bachelor"/>
    <x v="4"/>
    <x v="0"/>
    <s v="Eligible"/>
  </r>
  <r>
    <s v="EMP052"/>
    <d v="1991-08-29T00:00:00"/>
    <x v="8"/>
    <x v="34"/>
    <x v="1"/>
    <s v="D_002"/>
    <x v="34"/>
    <s v="Full-Time"/>
    <s v="MGR102"/>
    <n v="850000"/>
    <n v="82000"/>
    <n v="932000"/>
    <n v="9"/>
    <n v="4.4000000000000004"/>
    <n v="97.8"/>
    <n v="2"/>
    <x v="1"/>
    <s v="Low"/>
    <n v="45092"/>
    <s v="Active"/>
    <s v="aditi"/>
    <s v="malhotra"/>
    <s v="Aditi Malhotra"/>
    <s v="AM052"/>
    <x v="4"/>
    <n v="932000"/>
    <s v="Medium"/>
    <x v="1"/>
    <s v="Bachelor"/>
    <x v="6"/>
    <x v="2"/>
    <s v="Not Eligible"/>
  </r>
  <r>
    <s v="EMP068"/>
    <d v="1991-07-22T00:00:00"/>
    <x v="8"/>
    <x v="35"/>
    <x v="1"/>
    <s v="D_001"/>
    <x v="35"/>
    <s v="Full-Time"/>
    <s v="MGR101"/>
    <n v="850000"/>
    <n v="82000"/>
    <n v="932000"/>
    <n v="9"/>
    <n v="4.4000000000000004"/>
    <n v="97.7"/>
    <n v="3"/>
    <x v="1"/>
    <s v="Low"/>
    <s v="NA"/>
    <s v="Active"/>
    <s v="rashmi"/>
    <s v="kapoor"/>
    <s v="Rashmi Kapoor"/>
    <s v="RK068"/>
    <x v="1"/>
    <n v="932000"/>
    <s v="Medium"/>
    <x v="1"/>
    <s v="Bachelor"/>
    <x v="2"/>
    <x v="0"/>
    <s v="Eligible"/>
  </r>
  <r>
    <s v="EMP085"/>
    <d v="1990-06-21T00:00:00"/>
    <x v="3"/>
    <x v="36"/>
    <x v="1"/>
    <s v="D_003"/>
    <x v="36"/>
    <s v="Full-Time"/>
    <s v="MGR106"/>
    <n v="840000"/>
    <n v="88000"/>
    <n v="928000"/>
    <n v="10"/>
    <n v="4.3"/>
    <n v="97"/>
    <n v="2"/>
    <x v="1"/>
    <s v="Low"/>
    <n v="44946"/>
    <s v="Active"/>
    <s v="anuj"/>
    <s v="sinha"/>
    <s v="Anuj Sinha"/>
    <s v="AS085"/>
    <x v="2"/>
    <n v="1067200"/>
    <s v="Medium"/>
    <x v="0"/>
    <s v="Bachelor"/>
    <x v="5"/>
    <x v="1"/>
    <s v="Not Eligible"/>
  </r>
  <r>
    <s v="EMP043"/>
    <d v="1987-01-19T00:00:00"/>
    <x v="2"/>
    <x v="37"/>
    <x v="3"/>
    <s v="D_003"/>
    <x v="37"/>
    <s v="Full-Time"/>
    <s v="MGR106"/>
    <n v="830000"/>
    <n v="92000"/>
    <n v="922000"/>
    <n v="15"/>
    <n v="4.3"/>
    <n v="97.1"/>
    <n v="2"/>
    <x v="1"/>
    <s v="Low"/>
    <n v="44242"/>
    <s v="Active"/>
    <s v="harish"/>
    <s v="menon"/>
    <s v="Harish Menon"/>
    <s v="HM043"/>
    <x v="2"/>
    <n v="1060300"/>
    <s v="Medium"/>
    <x v="0"/>
    <s v="Master"/>
    <x v="0"/>
    <x v="0"/>
    <s v="Not Eligible"/>
  </r>
  <r>
    <s v="EMP013"/>
    <d v="1990-11-27T00:00:00"/>
    <x v="3"/>
    <x v="38"/>
    <x v="1"/>
    <s v="D_003"/>
    <x v="38"/>
    <s v="Full-Time"/>
    <s v="MGR106"/>
    <n v="810000"/>
    <n v="95000"/>
    <n v="905000"/>
    <n v="10"/>
    <n v="4.2"/>
    <n v="95.5"/>
    <n v="2"/>
    <x v="1"/>
    <s v="Medium"/>
    <s v="NA"/>
    <s v="Active"/>
    <s v="arjun"/>
    <s v="rao"/>
    <s v="Arjun Rao"/>
    <s v="AR013"/>
    <x v="2"/>
    <n v="1040750"/>
    <s v="Medium"/>
    <x v="0"/>
    <s v="Bachelor"/>
    <x v="4"/>
    <x v="0"/>
    <s v="Not Eligible"/>
  </r>
  <r>
    <s v="EMP033"/>
    <d v="1985-10-23T00:00:00"/>
    <x v="0"/>
    <x v="39"/>
    <x v="0"/>
    <s v="D_006"/>
    <x v="39"/>
    <s v="Full-Time"/>
    <s v="MGR103"/>
    <n v="820000"/>
    <n v="78000"/>
    <n v="898000"/>
    <n v="17"/>
    <n v="4.0999999999999996"/>
    <n v="96.1"/>
    <n v="2"/>
    <x v="0"/>
    <s v="Low"/>
    <n v="44084"/>
    <s v="Active"/>
    <s v="prakash"/>
    <s v="reddy"/>
    <s v="Prakash Reddy"/>
    <s v="PR033"/>
    <x v="0"/>
    <n v="898000"/>
    <s v="Medium"/>
    <x v="0"/>
    <s v="Master"/>
    <x v="4"/>
    <x v="0"/>
    <s v="Not Eligible"/>
  </r>
  <r>
    <s v="EMP055"/>
    <d v="1987-07-06T00:00:00"/>
    <x v="2"/>
    <x v="40"/>
    <x v="0"/>
    <s v="D_001"/>
    <x v="40"/>
    <s v="Full-Time"/>
    <s v="MGR101"/>
    <n v="820000"/>
    <n v="78000"/>
    <n v="898000"/>
    <n v="15"/>
    <n v="4.2"/>
    <n v="96.8"/>
    <n v="3"/>
    <x v="1"/>
    <s v="Low"/>
    <n v="44525"/>
    <s v="Active"/>
    <s v="karthik"/>
    <s v="reddy"/>
    <s v="Karthik Reddy"/>
    <s v="KR055"/>
    <x v="1"/>
    <n v="898000"/>
    <s v="Medium"/>
    <x v="0"/>
    <s v="Bachelor"/>
    <x v="4"/>
    <x v="0"/>
    <s v="Eligible"/>
  </r>
  <r>
    <s v="EMP023"/>
    <d v="1986-01-07T00:00:00"/>
    <x v="4"/>
    <x v="41"/>
    <x v="2"/>
    <s v="D_005"/>
    <x v="41"/>
    <s v="Full-Time"/>
    <s v="MGR105"/>
    <n v="820000"/>
    <n v="78000"/>
    <n v="898000"/>
    <n v="15"/>
    <n v="4.2"/>
    <n v="97"/>
    <n v="2"/>
    <x v="1"/>
    <s v="Low"/>
    <n v="44433"/>
    <s v="Active"/>
    <s v="vishal"/>
    <s v="tiwari"/>
    <s v="Vishal Tiwari"/>
    <s v="VT023"/>
    <x v="3"/>
    <n v="898000"/>
    <s v="Medium"/>
    <x v="0"/>
    <s v="Bachelor"/>
    <x v="5"/>
    <x v="1"/>
    <s v="Not Eligible"/>
  </r>
  <r>
    <s v="EMP080"/>
    <d v="1992-04-20T00:00:00"/>
    <x v="11"/>
    <x v="42"/>
    <x v="2"/>
    <s v="D_002"/>
    <x v="42"/>
    <s v="Full-Time"/>
    <s v="MGR102"/>
    <n v="820000"/>
    <n v="78000"/>
    <n v="898000"/>
    <n v="8"/>
    <n v="4.4000000000000004"/>
    <n v="97.9"/>
    <n v="3"/>
    <x v="1"/>
    <s v="Low"/>
    <s v="NA"/>
    <s v="Active"/>
    <s v="shilpa"/>
    <s v="kulkarni"/>
    <s v="Shilpa Kulkarni"/>
    <s v="SK080"/>
    <x v="4"/>
    <n v="898000"/>
    <s v="Medium"/>
    <x v="1"/>
    <s v="Bachelor"/>
    <x v="2"/>
    <x v="0"/>
    <s v="Eligible"/>
  </r>
  <r>
    <s v="EMP067"/>
    <d v="1986-11-10T00:00:00"/>
    <x v="4"/>
    <x v="43"/>
    <x v="0"/>
    <s v="D_003"/>
    <x v="43"/>
    <s v="Full-Time"/>
    <s v="MGR106"/>
    <n v="810000"/>
    <n v="78000"/>
    <n v="888000"/>
    <n v="16"/>
    <n v="4.3"/>
    <n v="97.4"/>
    <n v="2"/>
    <x v="0"/>
    <s v="Low"/>
    <n v="44270"/>
    <s v="Active"/>
    <s v="naveen"/>
    <s v="gupta"/>
    <s v="Naveen Gupta"/>
    <s v="NG067"/>
    <x v="2"/>
    <n v="1021200"/>
    <s v="Medium"/>
    <x v="0"/>
    <s v="Master"/>
    <x v="3"/>
    <x v="2"/>
    <s v="Not Eligible"/>
  </r>
  <r>
    <s v="EMP060"/>
    <d v="1991-06-14T00:00:00"/>
    <x v="8"/>
    <x v="44"/>
    <x v="3"/>
    <s v="D_004"/>
    <x v="44"/>
    <s v="Full-Time"/>
    <s v="MGR104"/>
    <n v="810000"/>
    <n v="78000"/>
    <n v="888000"/>
    <n v="9"/>
    <n v="4.3"/>
    <n v="97.3"/>
    <n v="2"/>
    <x v="1"/>
    <s v="Low"/>
    <s v="NA"/>
    <s v="Active"/>
    <s v="nidhi"/>
    <s v="kulkarni"/>
    <s v="Nidhi Kulkarni"/>
    <s v="NK060"/>
    <x v="5"/>
    <n v="888000"/>
    <s v="Medium"/>
    <x v="1"/>
    <s v="Bachelor"/>
    <x v="3"/>
    <x v="2"/>
    <s v="Not Eligible"/>
  </r>
  <r>
    <s v="EMP071"/>
    <d v="1987-03-29T00:00:00"/>
    <x v="2"/>
    <x v="45"/>
    <x v="1"/>
    <s v="D_005"/>
    <x v="45"/>
    <s v="Full-Time"/>
    <s v="MGR105"/>
    <n v="800000"/>
    <n v="76000"/>
    <n v="876000"/>
    <n v="15"/>
    <n v="4.2"/>
    <n v="97.2"/>
    <n v="3"/>
    <x v="1"/>
    <s v="Low"/>
    <n v="44407"/>
    <s v="Active"/>
    <s v="tarun"/>
    <s v="shetty"/>
    <s v="Tarun Shetty"/>
    <s v="TS071"/>
    <x v="3"/>
    <n v="876000"/>
    <s v="Medium"/>
    <x v="0"/>
    <s v="Bachelor"/>
    <x v="4"/>
    <x v="0"/>
    <s v="Eligible"/>
  </r>
  <r>
    <s v="EMP063"/>
    <d v="1987-08-21T00:00:00"/>
    <x v="2"/>
    <x v="46"/>
    <x v="2"/>
    <s v="D_001"/>
    <x v="46"/>
    <s v="Full-Time"/>
    <s v="MGR101"/>
    <n v="790000"/>
    <n v="75000"/>
    <n v="865000"/>
    <n v="15"/>
    <n v="4.2"/>
    <n v="96.9"/>
    <n v="3"/>
    <x v="1"/>
    <s v="Low"/>
    <n v="44367"/>
    <s v="Active"/>
    <s v="abhishek"/>
    <s v="pandey"/>
    <s v="Abhishek Pandey"/>
    <s v="AP063"/>
    <x v="1"/>
    <n v="865000"/>
    <s v="Medium"/>
    <x v="0"/>
    <s v="Master"/>
    <x v="6"/>
    <x v="2"/>
    <s v="Eligible"/>
  </r>
  <r>
    <s v="EMP083"/>
    <d v="1987-02-27T00:00:00"/>
    <x v="2"/>
    <x v="47"/>
    <x v="4"/>
    <s v="D_005"/>
    <x v="47"/>
    <s v="Full-Time"/>
    <s v="MGR105"/>
    <n v="790000"/>
    <n v="75000"/>
    <n v="865000"/>
    <n v="15"/>
    <n v="4.0999999999999996"/>
    <n v="96.3"/>
    <n v="2"/>
    <x v="1"/>
    <s v="Low"/>
    <n v="44464"/>
    <s v="Active"/>
    <s v="yogesh"/>
    <s v="pandey"/>
    <s v="Yogesh Pandey"/>
    <s v="YP083"/>
    <x v="3"/>
    <n v="865000"/>
    <s v="Medium"/>
    <x v="0"/>
    <s v="Master"/>
    <x v="0"/>
    <x v="0"/>
    <s v="Not Eligible"/>
  </r>
  <r>
    <s v="EMP039"/>
    <d v="1988-04-03T00:00:00"/>
    <x v="6"/>
    <x v="48"/>
    <x v="3"/>
    <s v="D_006"/>
    <x v="48"/>
    <s v="Full-Time"/>
    <s v="MGR103"/>
    <n v="790000"/>
    <n v="72000"/>
    <n v="862000"/>
    <n v="13"/>
    <n v="4.2"/>
    <n v="96.5"/>
    <n v="2"/>
    <x v="1"/>
    <s v="Low"/>
    <n v="44752"/>
    <s v="Active"/>
    <s v="sandeep"/>
    <s v="rana"/>
    <s v="Sandeep Rana"/>
    <s v="SR039"/>
    <x v="0"/>
    <n v="862000"/>
    <s v="Medium"/>
    <x v="0"/>
    <s v="Bachelor"/>
    <x v="5"/>
    <x v="1"/>
    <s v="Not Eligible"/>
  </r>
  <r>
    <s v="EMP073"/>
    <d v="1990-12-24T00:00:00"/>
    <x v="3"/>
    <x v="49"/>
    <x v="1"/>
    <s v="D_003"/>
    <x v="49"/>
    <s v="Full-Time"/>
    <s v="MGR106"/>
    <n v="780000"/>
    <n v="75000"/>
    <n v="855000"/>
    <n v="10"/>
    <n v="4.2"/>
    <n v="96.6"/>
    <n v="2"/>
    <x v="1"/>
    <s v="Medium"/>
    <s v="NA"/>
    <s v="Active"/>
    <s v="ashish"/>
    <s v="pillai"/>
    <s v="Ashish Pillai"/>
    <s v="AP073"/>
    <x v="2"/>
    <n v="983250"/>
    <s v="Medium"/>
    <x v="0"/>
    <s v="Master"/>
    <x v="2"/>
    <x v="0"/>
    <s v="Not Eligible"/>
  </r>
  <r>
    <s v="EMP027"/>
    <d v="1984-09-15T00:00:00"/>
    <x v="9"/>
    <x v="50"/>
    <x v="0"/>
    <s v="D_001"/>
    <x v="50"/>
    <s v="Full-Time"/>
    <s v="MGR101"/>
    <n v="780000"/>
    <n v="72000"/>
    <n v="852000"/>
    <n v="19"/>
    <n v="4.0999999999999996"/>
    <n v="96.4"/>
    <n v="3"/>
    <x v="0"/>
    <s v="Low"/>
    <n v="43845"/>
    <s v="Active"/>
    <s v="ashok"/>
    <s v="bansal"/>
    <s v="Ashok Bansal"/>
    <s v="AB027"/>
    <x v="1"/>
    <n v="852000"/>
    <s v="Medium"/>
    <x v="0"/>
    <s v="Bachelor"/>
    <x v="6"/>
    <x v="2"/>
    <s v="Eligible"/>
  </r>
  <r>
    <s v="EMP076"/>
    <d v="1991-02-01T00:00:00"/>
    <x v="8"/>
    <x v="51"/>
    <x v="1"/>
    <s v="D_005"/>
    <x v="51"/>
    <s v="Full-Time"/>
    <s v="MGR105"/>
    <n v="780000"/>
    <n v="72000"/>
    <n v="852000"/>
    <n v="9"/>
    <n v="4.3"/>
    <n v="97.5"/>
    <n v="2"/>
    <x v="1"/>
    <s v="Low"/>
    <n v="45184"/>
    <s v="Active"/>
    <s v="sunita"/>
    <s v="nair"/>
    <s v="Sunita Nair"/>
    <s v="SN076"/>
    <x v="3"/>
    <n v="852000"/>
    <s v="Medium"/>
    <x v="1"/>
    <s v="Bachelor"/>
    <x v="6"/>
    <x v="2"/>
    <s v="Not Eligible"/>
  </r>
  <r>
    <s v="EMP024"/>
    <d v="1992-07-18T00:00:00"/>
    <x v="11"/>
    <x v="52"/>
    <x v="3"/>
    <s v="D_004"/>
    <x v="52"/>
    <s v="Full-Time"/>
    <s v="MGR104"/>
    <n v="780000"/>
    <n v="72000"/>
    <n v="852000"/>
    <n v="8"/>
    <n v="4.4000000000000004"/>
    <n v="98.3"/>
    <n v="3"/>
    <x v="1"/>
    <s v="Low"/>
    <s v="NA"/>
    <s v="Active"/>
    <s v="anjali"/>
    <s v="sinha"/>
    <s v="Anjali Sinha"/>
    <s v="AS024"/>
    <x v="5"/>
    <n v="852000"/>
    <s v="Medium"/>
    <x v="1"/>
    <s v="Bachelor"/>
    <x v="2"/>
    <x v="0"/>
    <s v="Eligible"/>
  </r>
  <r>
    <s v="EMP050"/>
    <d v="1993-10-13T00:00:00"/>
    <x v="7"/>
    <x v="53"/>
    <x v="1"/>
    <s v="D_001"/>
    <x v="53"/>
    <s v="Full-Time"/>
    <s v="MGR101"/>
    <n v="780000"/>
    <n v="72000"/>
    <n v="852000"/>
    <n v="6"/>
    <n v="4.2"/>
    <n v="96.7"/>
    <n v="3"/>
    <x v="1"/>
    <s v="Low"/>
    <s v="NA"/>
    <s v="Active"/>
    <s v="kavya"/>
    <s v="iyer"/>
    <s v="Kavya Iyer"/>
    <s v="KI050"/>
    <x v="1"/>
    <n v="852000"/>
    <s v="Medium"/>
    <x v="1"/>
    <s v="Bachelor"/>
    <x v="1"/>
    <x v="1"/>
    <s v="Not Eligible"/>
  </r>
  <r>
    <s v="EMP003"/>
    <d v="1988-11-10T00:00:00"/>
    <x v="6"/>
    <x v="54"/>
    <x v="0"/>
    <s v="D_006"/>
    <x v="54"/>
    <s v="Full-Time"/>
    <s v="MGR103"/>
    <n v="780000"/>
    <n v="70000"/>
    <n v="850000"/>
    <n v="14"/>
    <n v="3.8"/>
    <n v="94.3"/>
    <n v="1"/>
    <x v="0"/>
    <s v="Medium"/>
    <s v="NA"/>
    <s v="Active"/>
    <s v="amit"/>
    <s v="patel"/>
    <s v="Amit Patel"/>
    <s v="AP003"/>
    <x v="0"/>
    <n v="850000"/>
    <s v="Medium"/>
    <x v="0"/>
    <s v="Master"/>
    <x v="2"/>
    <x v="0"/>
    <s v="Not Eligible"/>
  </r>
  <r>
    <s v="EMP087"/>
    <d v="1988-03-16T00:00:00"/>
    <x v="6"/>
    <x v="55"/>
    <x v="3"/>
    <s v="D_006"/>
    <x v="55"/>
    <s v="Full-Time"/>
    <s v="MGR103"/>
    <n v="770000"/>
    <n v="72000"/>
    <n v="842000"/>
    <n v="13"/>
    <n v="4.0999999999999996"/>
    <n v="96.5"/>
    <n v="2"/>
    <x v="1"/>
    <s v="Low"/>
    <n v="44757"/>
    <s v="Active"/>
    <s v="hemant"/>
    <s v="gupta"/>
    <s v="Hemant Gupta"/>
    <s v="HG087"/>
    <x v="0"/>
    <n v="842000"/>
    <s v="Medium"/>
    <x v="0"/>
    <s v="Bachelor"/>
    <x v="4"/>
    <x v="0"/>
    <s v="Not Eligible"/>
  </r>
  <r>
    <s v="EMP057"/>
    <d v="1989-09-02T00:00:00"/>
    <x v="5"/>
    <x v="56"/>
    <x v="0"/>
    <s v="D_006"/>
    <x v="56"/>
    <s v="Full-Time"/>
    <s v="MGR103"/>
    <n v="770000"/>
    <n v="71000"/>
    <n v="841000"/>
    <n v="11"/>
    <n v="4.0999999999999996"/>
    <n v="96.2"/>
    <n v="2"/>
    <x v="1"/>
    <s v="Low"/>
    <n v="45066"/>
    <s v="Active"/>
    <s v="mohit"/>
    <s v="jain"/>
    <s v="Mohit Jain"/>
    <s v="MJ057"/>
    <x v="0"/>
    <n v="841000"/>
    <s v="Medium"/>
    <x v="0"/>
    <s v="Bachelor"/>
    <x v="6"/>
    <x v="2"/>
    <s v="Not Eligible"/>
  </r>
  <r>
    <s v="EMP065"/>
    <d v="1990-02-15T00:00:00"/>
    <x v="3"/>
    <x v="57"/>
    <x v="1"/>
    <s v="D_005"/>
    <x v="57"/>
    <s v="Full-Time"/>
    <s v="MGR105"/>
    <n v="760000"/>
    <n v="72000"/>
    <n v="832000"/>
    <n v="11"/>
    <n v="4.0999999999999996"/>
    <n v="96.4"/>
    <n v="2"/>
    <x v="1"/>
    <s v="Low"/>
    <n v="45189"/>
    <s v="Active"/>
    <s v="pankaj"/>
    <s v="bansal"/>
    <s v="Pankaj Bansal"/>
    <s v="PB065"/>
    <x v="3"/>
    <n v="832000"/>
    <s v="Medium"/>
    <x v="0"/>
    <s v="Master"/>
    <x v="1"/>
    <x v="1"/>
    <s v="Not Eligible"/>
  </r>
  <r>
    <s v="EMP090"/>
    <d v="1992-05-24T00:00:00"/>
    <x v="11"/>
    <x v="58"/>
    <x v="2"/>
    <s v="D_004"/>
    <x v="58"/>
    <s v="Full-Time"/>
    <s v="MGR104"/>
    <n v="760000"/>
    <n v="72000"/>
    <n v="832000"/>
    <n v="8"/>
    <n v="4.2"/>
    <n v="96.9"/>
    <n v="2"/>
    <x v="1"/>
    <s v="Low"/>
    <s v="NA"/>
    <s v="Active"/>
    <s v="naina"/>
    <s v="tiwari"/>
    <s v="Naina Tiwari"/>
    <s v="NT090"/>
    <x v="5"/>
    <n v="832000"/>
    <s v="Medium"/>
    <x v="1"/>
    <s v="Bachelor"/>
    <x v="0"/>
    <x v="0"/>
    <s v="Not Eligible"/>
  </r>
  <r>
    <s v="EMP045"/>
    <d v="1989-03-12T00:00:00"/>
    <x v="5"/>
    <x v="59"/>
    <x v="1"/>
    <s v="D_006"/>
    <x v="59"/>
    <s v="Full-Time"/>
    <s v="MGR103"/>
    <n v="760000"/>
    <n v="70000"/>
    <n v="830000"/>
    <n v="12"/>
    <n v="4"/>
    <n v="95.8"/>
    <n v="2"/>
    <x v="1"/>
    <s v="Low"/>
    <n v="44798"/>
    <s v="Active"/>
    <s v="aditya"/>
    <s v="verma"/>
    <s v="Aditya Verma"/>
    <s v="AV045"/>
    <x v="0"/>
    <n v="830000"/>
    <s v="Medium"/>
    <x v="0"/>
    <s v="Bachelor"/>
    <x v="6"/>
    <x v="2"/>
    <s v="Not Eligible"/>
  </r>
  <r>
    <s v="EMP015"/>
    <d v="1988-07-09T00:00:00"/>
    <x v="6"/>
    <x v="60"/>
    <x v="1"/>
    <s v="D_006"/>
    <x v="60"/>
    <s v="Full-Time"/>
    <s v="MGR103"/>
    <n v="750000"/>
    <n v="68000"/>
    <n v="818000"/>
    <n v="12"/>
    <n v="4"/>
    <n v="96.8"/>
    <n v="2"/>
    <x v="1"/>
    <s v="Low"/>
    <n v="44819"/>
    <s v="Active"/>
    <s v="karan"/>
    <s v="malhotra"/>
    <s v="Karan Malhotra"/>
    <s v="KM015"/>
    <x v="0"/>
    <n v="818000"/>
    <s v="Medium"/>
    <x v="0"/>
    <s v="Bachelor"/>
    <x v="5"/>
    <x v="1"/>
    <s v="Not Eligible"/>
  </r>
  <r>
    <s v="EMP069"/>
    <d v="1989-01-04T00:00:00"/>
    <x v="5"/>
    <x v="61"/>
    <x v="4"/>
    <s v="D_006"/>
    <x v="61"/>
    <s v="Full-Time"/>
    <s v="MGR103"/>
    <n v="740000"/>
    <n v="68000"/>
    <n v="808000"/>
    <n v="12"/>
    <n v="4"/>
    <n v="95.6"/>
    <n v="2"/>
    <x v="1"/>
    <s v="Low"/>
    <n v="45026"/>
    <s v="Active"/>
    <s v="deepak"/>
    <s v="yadav"/>
    <s v="Deepak Yadav"/>
    <s v="DY069"/>
    <x v="0"/>
    <n v="808000"/>
    <s v="Medium"/>
    <x v="0"/>
    <s v="Bachelor"/>
    <x v="5"/>
    <x v="1"/>
    <s v="Not Eligible"/>
  </r>
  <r>
    <s v="EMP032"/>
    <d v="1992-06-14T00:00:00"/>
    <x v="11"/>
    <x v="62"/>
    <x v="3"/>
    <s v="D_001"/>
    <x v="62"/>
    <s v="Full-Time"/>
    <s v="MGR101"/>
    <n v="740000"/>
    <n v="68000"/>
    <n v="808000"/>
    <n v="8"/>
    <n v="4.2"/>
    <n v="97.2"/>
    <n v="2"/>
    <x v="1"/>
    <s v="Low"/>
    <s v="NA"/>
    <s v="Active"/>
    <s v="tanvi"/>
    <s v="deshpande"/>
    <s v="Tanvi Deshpande"/>
    <s v="TD032"/>
    <x v="1"/>
    <n v="808000"/>
    <s v="Medium"/>
    <x v="1"/>
    <s v="Bachelor"/>
    <x v="6"/>
    <x v="2"/>
    <s v="Not Eligible"/>
  </r>
  <r>
    <s v="EMP064"/>
    <d v="1992-10-03T00:00:00"/>
    <x v="11"/>
    <x v="63"/>
    <x v="3"/>
    <s v="D_006"/>
    <x v="63"/>
    <s v="Full-Time"/>
    <s v="MGR103"/>
    <n v="730000"/>
    <n v="68000"/>
    <n v="798000"/>
    <n v="8"/>
    <n v="4"/>
    <n v="95.9"/>
    <n v="2"/>
    <x v="1"/>
    <s v="Low"/>
    <s v="NA"/>
    <s v="Active"/>
    <s v="megha"/>
    <s v="tiwari"/>
    <s v="Megha Tiwari"/>
    <s v="MT064"/>
    <x v="0"/>
    <n v="798000"/>
    <s v="Medium"/>
    <x v="1"/>
    <s v="Bachelor"/>
    <x v="4"/>
    <x v="0"/>
    <s v="Not Eligible"/>
  </r>
  <r>
    <s v="EMP053"/>
    <d v="1990-12-11T00:00:00"/>
    <x v="3"/>
    <x v="64"/>
    <x v="3"/>
    <s v="D_005"/>
    <x v="64"/>
    <s v="Full-Time"/>
    <s v="MGR105"/>
    <n v="720000"/>
    <n v="68000"/>
    <n v="788000"/>
    <n v="10"/>
    <n v="4"/>
    <n v="95.4"/>
    <n v="2"/>
    <x v="1"/>
    <s v="Medium"/>
    <s v="NA"/>
    <s v="Active"/>
    <s v="vivek"/>
    <s v="nair"/>
    <s v="Vivek Nair"/>
    <s v="VN053"/>
    <x v="3"/>
    <n v="788000"/>
    <s v="Medium"/>
    <x v="0"/>
    <s v="Bachelor"/>
    <x v="5"/>
    <x v="1"/>
    <s v="Not Eligible"/>
  </r>
  <r>
    <s v="EMP078"/>
    <d v="1993-09-26T00:00:00"/>
    <x v="7"/>
    <x v="65"/>
    <x v="0"/>
    <s v="D_004"/>
    <x v="65"/>
    <s v="Full-Time"/>
    <s v="MGR104"/>
    <n v="720000"/>
    <n v="68000"/>
    <n v="788000"/>
    <n v="6"/>
    <n v="4.2"/>
    <n v="96.8"/>
    <n v="2"/>
    <x v="1"/>
    <s v="Low"/>
    <s v="NA"/>
    <s v="Active"/>
    <s v="archana"/>
    <s v="bhatt"/>
    <s v="Archana Bhatt"/>
    <s v="AB078"/>
    <x v="5"/>
    <n v="788000"/>
    <s v="Medium"/>
    <x v="1"/>
    <s v="Bachelor"/>
    <x v="3"/>
    <x v="2"/>
    <s v="Not Eligible"/>
  </r>
  <r>
    <s v="EMP094"/>
    <d v="1994-04-12T00:00:00"/>
    <x v="10"/>
    <x v="66"/>
    <x v="0"/>
    <s v="D_005"/>
    <x v="66"/>
    <s v="Full-Time"/>
    <s v="MGR105"/>
    <n v="720000"/>
    <n v="68000"/>
    <n v="788000"/>
    <n v="5"/>
    <n v="4"/>
    <n v="95.7"/>
    <n v="2"/>
    <x v="1"/>
    <s v="Medium"/>
    <s v="NA"/>
    <s v="Active"/>
    <s v="shraddha"/>
    <s v="joshi"/>
    <s v="Shraddha Joshi"/>
    <s v="SJ094"/>
    <x v="3"/>
    <n v="788000"/>
    <s v="Medium"/>
    <x v="1"/>
    <s v="Bachelor"/>
    <x v="6"/>
    <x v="2"/>
    <s v="Not Eligible"/>
  </r>
  <r>
    <s v="EMP006"/>
    <d v="1991-04-25T00:00:00"/>
    <x v="8"/>
    <x v="67"/>
    <x v="3"/>
    <s v="D_001"/>
    <x v="67"/>
    <s v="Full-Time"/>
    <s v="MGR101"/>
    <n v="720000"/>
    <n v="65000"/>
    <n v="785000"/>
    <n v="9"/>
    <n v="4.0999999999999996"/>
    <n v="95.8"/>
    <n v="2"/>
    <x v="1"/>
    <s v="Low"/>
    <s v="NA"/>
    <s v="Active"/>
    <s v="anita"/>
    <s v="desai"/>
    <s v="Anita Desai"/>
    <s v="AD006"/>
    <x v="1"/>
    <n v="785000"/>
    <s v="Medium"/>
    <x v="1"/>
    <s v="Bachelor"/>
    <x v="6"/>
    <x v="2"/>
    <s v="Not Eligible"/>
  </r>
  <r>
    <s v="EMP028"/>
    <d v="1991-04-26T00:00:00"/>
    <x v="8"/>
    <x v="68"/>
    <x v="1"/>
    <s v="D_006"/>
    <x v="68"/>
    <s v="Full-Time"/>
    <s v="MGR103"/>
    <n v="710000"/>
    <n v="65000"/>
    <n v="775000"/>
    <n v="9"/>
    <n v="4"/>
    <n v="95.7"/>
    <n v="2"/>
    <x v="1"/>
    <s v="Low"/>
    <s v="NA"/>
    <s v="Active"/>
    <s v="preeti"/>
    <s v="mishra"/>
    <s v="Preeti Mishra"/>
    <s v="PM028"/>
    <x v="0"/>
    <n v="775000"/>
    <s v="Medium"/>
    <x v="1"/>
    <s v="Bachelor"/>
    <x v="0"/>
    <x v="0"/>
    <s v="Not Eligible"/>
  </r>
  <r>
    <s v="EMP098"/>
    <d v="1993-09-01T00:00:00"/>
    <x v="7"/>
    <x v="69"/>
    <x v="1"/>
    <s v="D_002"/>
    <x v="69"/>
    <s v="Full-Time"/>
    <s v="MGR102"/>
    <n v="690000"/>
    <n v="64000"/>
    <n v="754000"/>
    <n v="6"/>
    <n v="4.0999999999999996"/>
    <n v="96.4"/>
    <n v="2"/>
    <x v="1"/>
    <s v="Low"/>
    <s v="NA"/>
    <s v="Active"/>
    <s v="tara"/>
    <s v="desai"/>
    <s v="Tara Desai"/>
    <s v="TD098"/>
    <x v="4"/>
    <n v="754000"/>
    <s v="Low"/>
    <x v="1"/>
    <s v="Master"/>
    <x v="0"/>
    <x v="0"/>
    <s v="Not Eligible"/>
  </r>
  <r>
    <s v="EMP044"/>
    <d v="1991-09-30T00:00:00"/>
    <x v="8"/>
    <x v="70"/>
    <x v="0"/>
    <s v="D_002"/>
    <x v="70"/>
    <s v="Full-Time"/>
    <s v="MGR102"/>
    <n v="690000"/>
    <n v="62000"/>
    <n v="752000"/>
    <n v="9"/>
    <n v="4.0999999999999996"/>
    <n v="96.3"/>
    <n v="2"/>
    <x v="1"/>
    <s v="Low"/>
    <s v="NA"/>
    <s v="Active"/>
    <s v="priyanka"/>
    <s v="gupta"/>
    <s v="Priyanka Gupta"/>
    <s v="PG044"/>
    <x v="4"/>
    <n v="752000"/>
    <s v="Low"/>
    <x v="1"/>
    <s v="Master"/>
    <x v="2"/>
    <x v="0"/>
    <s v="Not Eligible"/>
  </r>
  <r>
    <s v="EMP012"/>
    <d v="1991-05-19T00:00:00"/>
    <x v="8"/>
    <x v="71"/>
    <x v="0"/>
    <s v="D_005"/>
    <x v="71"/>
    <s v="Full-Time"/>
    <s v="MGR105"/>
    <n v="690000"/>
    <n v="62000"/>
    <n v="752000"/>
    <n v="9"/>
    <n v="3.7"/>
    <n v="92.8"/>
    <n v="1"/>
    <x v="0"/>
    <s v="High"/>
    <s v="NA"/>
    <s v="Active"/>
    <s v="pooja"/>
    <s v="kapoor"/>
    <s v="Pooja Kapoor"/>
    <s v="PK012"/>
    <x v="3"/>
    <n v="752000"/>
    <s v="Low"/>
    <x v="1"/>
    <s v="Master"/>
    <x v="3"/>
    <x v="2"/>
    <s v="Not Eligible"/>
  </r>
  <r>
    <s v="EMP074"/>
    <d v="1994-06-07T00:00:00"/>
    <x v="10"/>
    <x v="72"/>
    <x v="4"/>
    <s v="D_001"/>
    <x v="72"/>
    <s v="Full-Time"/>
    <s v="MGR101"/>
    <n v="680000"/>
    <n v="62000"/>
    <n v="742000"/>
    <n v="5"/>
    <n v="4"/>
    <n v="95.2"/>
    <n v="2"/>
    <x v="1"/>
    <s v="Low"/>
    <s v="NA"/>
    <s v="Active"/>
    <s v="jyoti"/>
    <s v="agarwal"/>
    <s v="Jyoti Agarwal"/>
    <s v="JA074"/>
    <x v="1"/>
    <n v="742000"/>
    <s v="Low"/>
    <x v="1"/>
    <s v="Bachelor"/>
    <x v="1"/>
    <x v="1"/>
    <s v="Not Eligible"/>
  </r>
  <r>
    <s v="EMP021"/>
    <d v="1989-02-13T00:00:00"/>
    <x v="5"/>
    <x v="73"/>
    <x v="0"/>
    <s v="D_006"/>
    <x v="73"/>
    <s v="Full-Time"/>
    <s v="MGR103"/>
    <n v="680000"/>
    <n v="60000"/>
    <n v="740000"/>
    <n v="11"/>
    <n v="3.8"/>
    <n v="93.9"/>
    <n v="1"/>
    <x v="0"/>
    <s v="Medium"/>
    <s v="NA"/>
    <s v="Active"/>
    <s v="rohit"/>
    <s v="agarwal"/>
    <s v="Rohit Agarwal"/>
    <s v="RA021"/>
    <x v="0"/>
    <n v="740000"/>
    <s v="Low"/>
    <x v="0"/>
    <s v="Master"/>
    <x v="6"/>
    <x v="2"/>
    <s v="Not Eligible"/>
  </r>
  <r>
    <s v="EMP040"/>
    <d v="1992-12-16T00:00:00"/>
    <x v="11"/>
    <x v="74"/>
    <x v="1"/>
    <s v="D_005"/>
    <x v="74"/>
    <s v="Full-Time"/>
    <s v="MGR105"/>
    <n v="670000"/>
    <n v="60000"/>
    <n v="730000"/>
    <n v="7"/>
    <n v="3.9"/>
    <n v="95"/>
    <n v="1"/>
    <x v="1"/>
    <s v="Medium"/>
    <s v="NA"/>
    <s v="Active"/>
    <s v="madhuri"/>
    <s v="joshi"/>
    <s v="Madhuri Joshi"/>
    <s v="MJ040"/>
    <x v="3"/>
    <n v="730000"/>
    <s v="Low"/>
    <x v="1"/>
    <s v="Bachelor"/>
    <x v="4"/>
    <x v="0"/>
    <s v="Not Eligible"/>
  </r>
  <r>
    <s v="EMP084"/>
    <d v="1993-12-09T00:00:00"/>
    <x v="7"/>
    <x v="75"/>
    <x v="0"/>
    <s v="D_004"/>
    <x v="75"/>
    <s v="Full-Time"/>
    <s v="MGR104"/>
    <n v="650000"/>
    <n v="58000"/>
    <n v="708000"/>
    <n v="6"/>
    <n v="3.9"/>
    <n v="94.9"/>
    <n v="1"/>
    <x v="1"/>
    <s v="Medium"/>
    <s v="NA"/>
    <s v="Active"/>
    <s v="riya"/>
    <s v="jain"/>
    <s v="Riya Jain"/>
    <s v="RJ084"/>
    <x v="5"/>
    <n v="708000"/>
    <s v="Low"/>
    <x v="1"/>
    <s v="Master"/>
    <x v="3"/>
    <x v="2"/>
    <s v="Not Eligible"/>
  </r>
  <r>
    <s v="EMP004"/>
    <d v="1992-09-05T00:00:00"/>
    <x v="11"/>
    <x v="76"/>
    <x v="1"/>
    <s v="D_004"/>
    <x v="76"/>
    <s v="Full-Time"/>
    <s v="MGR104"/>
    <n v="650000"/>
    <n v="55000"/>
    <n v="705000"/>
    <n v="8"/>
    <n v="4"/>
    <n v="97.1"/>
    <n v="2"/>
    <x v="1"/>
    <s v="Low"/>
    <s v="NA"/>
    <s v="Active"/>
    <s v="sneha"/>
    <s v="reddy"/>
    <s v="Sneha Reddy"/>
    <s v="SR004"/>
    <x v="5"/>
    <n v="705000"/>
    <s v="Low"/>
    <x v="1"/>
    <s v="Bachelor"/>
    <x v="4"/>
    <x v="0"/>
    <s v="Not Eligible"/>
  </r>
  <r>
    <s v="EMP070"/>
    <d v="1993-09-16T00:00:00"/>
    <x v="7"/>
    <x v="77"/>
    <x v="0"/>
    <s v="D_002"/>
    <x v="77"/>
    <s v="Full-Time"/>
    <s v="MGR102"/>
    <n v="640000"/>
    <n v="58000"/>
    <n v="698000"/>
    <n v="6"/>
    <n v="4.0999999999999996"/>
    <n v="96.1"/>
    <n v="2"/>
    <x v="1"/>
    <s v="Low"/>
    <s v="NA"/>
    <s v="Active"/>
    <s v="smita"/>
    <s v="joshi"/>
    <s v="Smita Joshi"/>
    <s v="SJ070"/>
    <x v="4"/>
    <n v="698000"/>
    <s v="Low"/>
    <x v="1"/>
    <s v="Bachelor"/>
    <x v="6"/>
    <x v="2"/>
    <s v="Not Eligible"/>
  </r>
  <r>
    <s v="EMP020"/>
    <d v="1991-06-06T00:00:00"/>
    <x v="8"/>
    <x v="78"/>
    <x v="3"/>
    <s v="D_003"/>
    <x v="78"/>
    <s v="Full-Time"/>
    <s v="MGR106"/>
    <n v="620000"/>
    <n v="58000"/>
    <n v="678000"/>
    <n v="8"/>
    <n v="3.9"/>
    <n v="94.7"/>
    <n v="1"/>
    <x v="1"/>
    <s v="Medium"/>
    <s v="NA"/>
    <s v="Active"/>
    <s v="divya"/>
    <s v="menon"/>
    <s v="Divya Menon"/>
    <s v="DM020"/>
    <x v="2"/>
    <n v="779700"/>
    <s v="Low"/>
    <x v="1"/>
    <s v="Master"/>
    <x v="2"/>
    <x v="0"/>
    <s v="Not Eligible"/>
  </r>
  <r>
    <s v="EMP026"/>
    <d v="1993-05-02T00:00:00"/>
    <x v="7"/>
    <x v="79"/>
    <x v="4"/>
    <s v="D_002"/>
    <x v="79"/>
    <s v="Full-Time"/>
    <s v="MGR102"/>
    <n v="620000"/>
    <n v="55000"/>
    <n v="675000"/>
    <n v="6"/>
    <n v="3.9"/>
    <n v="94.5"/>
    <n v="1"/>
    <x v="1"/>
    <s v="Medium"/>
    <s v="NA"/>
    <s v="Active"/>
    <s v="nisha"/>
    <s v="yadav"/>
    <s v="Nisha Yadav"/>
    <s v="NY026"/>
    <x v="4"/>
    <n v="675000"/>
    <s v="Low"/>
    <x v="1"/>
    <s v="Master"/>
    <x v="1"/>
    <x v="1"/>
    <s v="Not Eligible"/>
  </r>
  <r>
    <s v="EMP100"/>
    <d v="1995-03-27T00:00:00"/>
    <x v="12"/>
    <x v="80"/>
    <x v="0"/>
    <s v="D_001"/>
    <x v="80"/>
    <s v="Full-Time"/>
    <s v="MGR101"/>
    <n v="620000"/>
    <n v="55000"/>
    <n v="675000"/>
    <n v="4"/>
    <n v="3.9"/>
    <n v="94.3"/>
    <n v="2"/>
    <x v="1"/>
    <s v="Medium"/>
    <s v="NA"/>
    <s v="Active"/>
    <s v="prachi"/>
    <s v="kulkarni"/>
    <s v="Prachi Kulkarni"/>
    <s v="PK100"/>
    <x v="1"/>
    <n v="675000"/>
    <s v="Low"/>
    <x v="1"/>
    <s v="Master"/>
    <x v="6"/>
    <x v="2"/>
    <s v="Not Eligible"/>
  </r>
  <r>
    <s v="EMP062"/>
    <d v="1993-04-09T00:00:00"/>
    <x v="7"/>
    <x v="81"/>
    <x v="1"/>
    <s v="D_002"/>
    <x v="81"/>
    <s v="Full-Time"/>
    <s v="MGR102"/>
    <n v="590000"/>
    <n v="52000"/>
    <n v="642000"/>
    <n v="6"/>
    <n v="3.9"/>
    <n v="94.6"/>
    <n v="1"/>
    <x v="1"/>
    <s v="Medium"/>
    <s v="NA"/>
    <s v="Active"/>
    <s v="poornima"/>
    <s v="rao"/>
    <s v="Poornima Rao"/>
    <s v="PR062"/>
    <x v="4"/>
    <n v="642000"/>
    <s v="Low"/>
    <x v="1"/>
    <s v="Bachelor"/>
    <x v="2"/>
    <x v="0"/>
    <s v="Not Eligible"/>
  </r>
  <r>
    <s v="EMP022"/>
    <d v="1994-10-24T00:00:00"/>
    <x v="10"/>
    <x v="82"/>
    <x v="1"/>
    <s v="D_001"/>
    <x v="82"/>
    <s v="Full-Time"/>
    <s v="MGR101"/>
    <n v="590000"/>
    <n v="52000"/>
    <n v="642000"/>
    <n v="5"/>
    <n v="4"/>
    <n v="95.3"/>
    <n v="2"/>
    <x v="1"/>
    <s v="Low"/>
    <s v="NA"/>
    <s v="Active"/>
    <s v="swati"/>
    <s v="kulkarni"/>
    <s v="Swati Kulkarni"/>
    <s v="SK022"/>
    <x v="1"/>
    <n v="642000"/>
    <s v="Low"/>
    <x v="1"/>
    <s v="Bachelor"/>
    <x v="3"/>
    <x v="2"/>
    <s v="Not Eligible"/>
  </r>
  <r>
    <s v="EMP056"/>
    <d v="1992-01-17T00:00:00"/>
    <x v="11"/>
    <x v="83"/>
    <x v="0"/>
    <s v="D_003"/>
    <x v="83"/>
    <s v="Full-Time"/>
    <s v="MGR106"/>
    <n v="580000"/>
    <n v="52000"/>
    <n v="632000"/>
    <n v="8"/>
    <n v="3.8"/>
    <n v="93.9"/>
    <n v="1"/>
    <x v="1"/>
    <s v="Medium"/>
    <s v="NA"/>
    <s v="Active"/>
    <s v="ananya"/>
    <s v="desai"/>
    <s v="Ananya Desai"/>
    <s v="AD056"/>
    <x v="2"/>
    <n v="726800"/>
    <s v="Low"/>
    <x v="1"/>
    <s v="Master"/>
    <x v="2"/>
    <x v="0"/>
    <s v="Not Eligible"/>
  </r>
  <r>
    <s v="EMP016"/>
    <d v="1992-12-21T00:00:00"/>
    <x v="11"/>
    <x v="84"/>
    <x v="4"/>
    <s v="D_002"/>
    <x v="84"/>
    <s v="Full-Time"/>
    <s v="MGR102"/>
    <n v="580000"/>
    <n v="50000"/>
    <n v="630000"/>
    <n v="7"/>
    <n v="4.0999999999999996"/>
    <n v="97.5"/>
    <n v="2"/>
    <x v="1"/>
    <s v="Low"/>
    <s v="NA"/>
    <s v="Active"/>
    <s v="ritu"/>
    <s v="saxena"/>
    <s v="Ritu Saxena"/>
    <s v="RS016"/>
    <x v="4"/>
    <n v="630000"/>
    <s v="Low"/>
    <x v="1"/>
    <s v="Bachelor"/>
    <x v="6"/>
    <x v="2"/>
    <s v="Not Eligible"/>
  </r>
  <r>
    <s v="EMP042"/>
    <d v="1994-08-07T00:00:00"/>
    <x v="10"/>
    <x v="85"/>
    <x v="1"/>
    <s v="D_004"/>
    <x v="85"/>
    <s v="Full-Time"/>
    <s v="MGR104"/>
    <n v="580000"/>
    <n v="50000"/>
    <n v="630000"/>
    <n v="5"/>
    <n v="4"/>
    <n v="95.5"/>
    <n v="1"/>
    <x v="1"/>
    <s v="Low"/>
    <s v="NA"/>
    <s v="Active"/>
    <s v="sonali"/>
    <s v="patil"/>
    <s v="Sonali Patil"/>
    <s v="SP042"/>
    <x v="5"/>
    <n v="630000"/>
    <s v="Low"/>
    <x v="1"/>
    <s v="Bachelor"/>
    <x v="3"/>
    <x v="2"/>
    <s v="Not Eligible"/>
  </r>
  <r>
    <s v="EMP010"/>
    <d v="1994-10-12T00:00:00"/>
    <x v="10"/>
    <x v="86"/>
    <x v="1"/>
    <s v="D_004"/>
    <x v="86"/>
    <s v="Full-Time"/>
    <s v="MGR104"/>
    <n v="580000"/>
    <n v="48000"/>
    <n v="628000"/>
    <n v="5"/>
    <n v="4"/>
    <n v="96.2"/>
    <n v="2"/>
    <x v="1"/>
    <s v="Low"/>
    <s v="NA"/>
    <s v="Active"/>
    <s v="deepa"/>
    <s v="iyer"/>
    <s v="Deepa Iyer"/>
    <s v="DI010"/>
    <x v="5"/>
    <n v="628000"/>
    <s v="Low"/>
    <x v="1"/>
    <s v="Master"/>
    <x v="6"/>
    <x v="2"/>
    <s v="Not Eligible"/>
  </r>
  <r>
    <s v="EMP054"/>
    <d v="1994-04-23T00:00:00"/>
    <x v="10"/>
    <x v="87"/>
    <x v="0"/>
    <s v="D_004"/>
    <x v="87"/>
    <s v="Full-Time"/>
    <s v="MGR104"/>
    <n v="560000"/>
    <n v="48000"/>
    <n v="608000"/>
    <n v="5"/>
    <n v="3.9"/>
    <n v="94.2"/>
    <n v="2"/>
    <x v="1"/>
    <s v="Medium"/>
    <s v="NA"/>
    <s v="Active"/>
    <s v="seema"/>
    <s v="chopra"/>
    <s v="Seema Chopra"/>
    <s v="SC054"/>
    <x v="5"/>
    <n v="608000"/>
    <s v="Low"/>
    <x v="1"/>
    <s v="Bachelor"/>
    <x v="3"/>
    <x v="2"/>
    <s v="Not Eligible"/>
  </r>
  <r>
    <s v="EMP034"/>
    <d v="1994-01-05T00:00:00"/>
    <x v="10"/>
    <x v="88"/>
    <x v="1"/>
    <s v="D_002"/>
    <x v="88"/>
    <s v="Full-Time"/>
    <s v="MGR102"/>
    <n v="560000"/>
    <n v="48000"/>
    <n v="608000"/>
    <n v="5"/>
    <n v="3.9"/>
    <n v="94.8"/>
    <n v="1"/>
    <x v="1"/>
    <s v="Medium"/>
    <s v="NA"/>
    <s v="Active"/>
    <s v="isha"/>
    <s v="khanna"/>
    <s v="Isha Khanna"/>
    <s v="IK034"/>
    <x v="4"/>
    <n v="608000"/>
    <s v="Low"/>
    <x v="1"/>
    <s v="Bachelor"/>
    <x v="1"/>
    <x v="1"/>
    <s v="Not Eligible"/>
  </r>
  <r>
    <s v="EMP066"/>
    <d v="1994-05-28T00:00:00"/>
    <x v="10"/>
    <x v="89"/>
    <x v="4"/>
    <s v="D_004"/>
    <x v="89"/>
    <s v="Full-Time"/>
    <s v="MGR104"/>
    <n v="550000"/>
    <n v="46000"/>
    <n v="596000"/>
    <n v="5"/>
    <n v="3.8"/>
    <n v="93.8"/>
    <n v="1"/>
    <x v="1"/>
    <s v="Medium"/>
    <s v="NA"/>
    <s v="Active"/>
    <s v="lakshmi"/>
    <s v="menon"/>
    <s v="Lakshmi Menon"/>
    <s v="LM066"/>
    <x v="5"/>
    <n v="596000"/>
    <s v="Low"/>
    <x v="1"/>
    <s v="Bachelor"/>
    <x v="0"/>
    <x v="0"/>
    <s v="Not Eligible"/>
  </r>
  <r>
    <s v="EMP030"/>
    <d v="1995-08-20T00:00:00"/>
    <x v="12"/>
    <x v="90"/>
    <x v="3"/>
    <s v="D_004"/>
    <x v="90"/>
    <s v="Full-Time"/>
    <s v="MGR104"/>
    <n v="550000"/>
    <n v="45000"/>
    <n v="595000"/>
    <n v="4"/>
    <n v="3.8"/>
    <n v="93.2"/>
    <n v="1"/>
    <x v="1"/>
    <s v="Medium"/>
    <s v="NA"/>
    <s v="Active"/>
    <s v="shweta"/>
    <s v="bhatt"/>
    <s v="Shweta Bhatt"/>
    <s v="SB030"/>
    <x v="5"/>
    <n v="595000"/>
    <s v="Low"/>
    <x v="1"/>
    <s v="Education_Level"/>
    <x v="5"/>
    <x v="1"/>
    <s v="Not Eligible"/>
  </r>
  <r>
    <s v="EMP046"/>
    <d v="1995-06-25T00:00:00"/>
    <x v="12"/>
    <x v="91"/>
    <x v="2"/>
    <s v="D_001"/>
    <x v="91"/>
    <s v="Full-Time"/>
    <s v="MGR101"/>
    <n v="540000"/>
    <n v="42000"/>
    <n v="582000"/>
    <n v="4"/>
    <n v="3.8"/>
    <n v="93.7"/>
    <n v="1"/>
    <x v="1"/>
    <s v="Medium"/>
    <s v="NA"/>
    <s v="Active"/>
    <s v="shruti"/>
    <s v="rao"/>
    <s v="Shruti Rao"/>
    <s v="SR046"/>
    <x v="1"/>
    <n v="582000"/>
    <s v="Low"/>
    <x v="1"/>
    <s v="Master"/>
    <x v="5"/>
    <x v="1"/>
    <s v="Not Eligible"/>
  </r>
  <r>
    <s v="EMP072"/>
    <d v="1992-08-11T00:00:00"/>
    <x v="11"/>
    <x v="92"/>
    <x v="3"/>
    <s v="D_004"/>
    <x v="92"/>
    <s v="Contract"/>
    <s v="MGR104"/>
    <n v="520000"/>
    <n v="42000"/>
    <n v="562000"/>
    <n v="7"/>
    <n v="3.7"/>
    <n v="92.7"/>
    <n v="1"/>
    <x v="0"/>
    <s v="High"/>
    <s v="NA"/>
    <s v="Active"/>
    <s v="vidya"/>
    <s v="mishra"/>
    <s v="Vidya Mishra"/>
    <s v="VM072"/>
    <x v="5"/>
    <n v="562000"/>
    <s v="Low"/>
    <x v="1"/>
    <s v="Master"/>
    <x v="3"/>
    <x v="2"/>
    <s v="Not Eligible"/>
  </r>
  <r>
    <s v="EMP014"/>
    <d v="1995-03-16T00:00:00"/>
    <x v="12"/>
    <x v="93"/>
    <x v="3"/>
    <s v="D_001"/>
    <x v="93"/>
    <s v="Full-Time"/>
    <s v="MGR101"/>
    <n v="520000"/>
    <n v="40000"/>
    <n v="560000"/>
    <n v="4"/>
    <n v="3.8"/>
    <n v="94"/>
    <n v="1"/>
    <x v="1"/>
    <s v="Medium"/>
    <s v="NA"/>
    <s v="Active"/>
    <s v="neha"/>
    <s v="verma"/>
    <s v="Neha Verma"/>
    <s v="NV014"/>
    <x v="1"/>
    <n v="560000"/>
    <s v="Low"/>
    <x v="1"/>
    <s v="Master"/>
    <x v="2"/>
    <x v="0"/>
    <s v="Not Eligible"/>
  </r>
  <r>
    <s v="EMP038"/>
    <d v="1993-11-11T00:00:00"/>
    <x v="7"/>
    <x v="94"/>
    <x v="2"/>
    <s v="D_003"/>
    <x v="94"/>
    <s v="Contract"/>
    <s v="MGR106"/>
    <n v="490000"/>
    <n v="38000"/>
    <n v="528000"/>
    <n v="6"/>
    <n v="3.7"/>
    <n v="92.5"/>
    <n v="1"/>
    <x v="0"/>
    <s v="High"/>
    <s v="NA"/>
    <s v="Active"/>
    <s v="rekha"/>
    <s v="pillai"/>
    <s v="Rekha Pillai"/>
    <s v="RP038"/>
    <x v="2"/>
    <n v="607200"/>
    <s v="Low"/>
    <x v="1"/>
    <s v="Bachelor"/>
    <x v="6"/>
    <x v="2"/>
    <s v="Not Eligible"/>
  </r>
  <r>
    <s v="EMP058"/>
    <d v="1995-11-20T00:00:00"/>
    <x v="12"/>
    <x v="95"/>
    <x v="0"/>
    <s v="D_001"/>
    <x v="95"/>
    <s v="Contract"/>
    <s v="MGR101"/>
    <n v="480000"/>
    <n v="36000"/>
    <n v="516000"/>
    <n v="4"/>
    <n v="3.7"/>
    <n v="92.3"/>
    <n v="1"/>
    <x v="0"/>
    <s v="High"/>
    <s v="NA"/>
    <s v="Active"/>
    <s v="ritika"/>
    <s v="bhatt"/>
    <s v="Ritika Bhatt"/>
    <s v="RB058"/>
    <x v="1"/>
    <n v="516000"/>
    <s v="Low"/>
    <x v="1"/>
    <s v="Master"/>
    <x v="1"/>
    <x v="1"/>
    <s v="Not Eligible"/>
  </r>
  <r>
    <s v="EMP008"/>
    <d v="1993-02-08T00:00:00"/>
    <x v="1"/>
    <x v="96"/>
    <x v="4"/>
    <s v="D_002"/>
    <x v="96"/>
    <s v="Contract"/>
    <s v="MGR102"/>
    <n v="480000"/>
    <n v="35000"/>
    <n v="515000"/>
    <n v="6"/>
    <n v="3.9"/>
    <n v="93.5"/>
    <n v="1"/>
    <x v="0"/>
    <s v="High"/>
    <s v="NA"/>
    <s v="Active"/>
    <s v="kavita"/>
    <s v="joshi"/>
    <s v="Kavita Joshi"/>
    <s v="KJ008"/>
    <x v="4"/>
    <n v="515000"/>
    <s v="Low"/>
    <x v="1"/>
    <s v="Bachelor"/>
    <x v="2"/>
    <x v="0"/>
    <s v="Not Eligible"/>
  </r>
  <r>
    <s v="EMP048"/>
    <d v="1992-07-18T00:00:00"/>
    <x v="11"/>
    <x v="97"/>
    <x v="1"/>
    <s v="D_004"/>
    <x v="97"/>
    <s v="Contract"/>
    <s v="MGR104"/>
    <n v="470000"/>
    <n v="35000"/>
    <n v="505000"/>
    <n v="7"/>
    <n v="3.6"/>
    <n v="91.8"/>
    <n v="1"/>
    <x v="0"/>
    <s v="High"/>
    <s v="NA"/>
    <s v="Active"/>
    <s v="geeta"/>
    <s v="saxena"/>
    <s v="Geeta Saxena"/>
    <s v="GS048"/>
    <x v="5"/>
    <n v="505000"/>
    <s v="Low"/>
    <x v="1"/>
    <s v="Bachelor"/>
    <x v="4"/>
    <x v="0"/>
    <s v="Not Eligible"/>
  </r>
  <r>
    <s v="EMP088"/>
    <d v="1995-09-29T00:00:00"/>
    <x v="12"/>
    <x v="98"/>
    <x v="0"/>
    <s v="D_002"/>
    <x v="98"/>
    <s v="Contract"/>
    <s v="MGR102"/>
    <n v="460000"/>
    <n v="34000"/>
    <n v="494000"/>
    <n v="4"/>
    <n v="3.6"/>
    <n v="91.5"/>
    <n v="1"/>
    <x v="0"/>
    <s v="High"/>
    <s v="NA"/>
    <s v="Active"/>
    <s v="sonal"/>
    <s v="kapoor"/>
    <s v="Sonal Kapoor"/>
    <s v="SK088"/>
    <x v="4"/>
    <n v="494000"/>
    <s v="Low"/>
    <x v="1"/>
    <s v="Bachelor"/>
    <x v="6"/>
    <x v="2"/>
    <s v="Not Eligible"/>
  </r>
  <r>
    <s v="EMP018"/>
    <d v="1993-08-28T00:00:00"/>
    <x v="7"/>
    <x v="99"/>
    <x v="1"/>
    <s v="D_004"/>
    <x v="99"/>
    <s v="Contract"/>
    <s v="MGR104"/>
    <n v="450000"/>
    <n v="32000"/>
    <n v="482000"/>
    <n v="6"/>
    <n v="3.6"/>
    <n v="91.2"/>
    <n v="1"/>
    <x v="0"/>
    <s v="High"/>
    <s v="NA"/>
    <s v="Active"/>
    <s v="meera"/>
    <s v="bhat"/>
    <s v="Meera Bhat"/>
    <s v="MB018"/>
    <x v="5"/>
    <n v="482000"/>
    <s v="Low"/>
    <x v="1"/>
    <s v="Master"/>
    <x v="3"/>
    <x v="2"/>
    <s v="Not Eligi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21783-F1AD-4752-BC03-220F9FACF05B}"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8:D189" firstHeaderRow="0"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 showAll="0">
      <items count="3">
        <item x="1"/>
        <item x="0"/>
        <item t="default"/>
      </items>
    </pivotField>
  </pivotFields>
  <rowFields count="1">
    <field x="34"/>
  </rowFields>
  <rowItems count="11">
    <i>
      <x v="1"/>
    </i>
    <i>
      <x v="2"/>
    </i>
    <i>
      <x v="3"/>
    </i>
    <i>
      <x v="4"/>
    </i>
    <i>
      <x v="5"/>
    </i>
    <i>
      <x v="6"/>
    </i>
    <i>
      <x v="7"/>
    </i>
    <i>
      <x v="8"/>
    </i>
    <i>
      <x v="9"/>
    </i>
    <i>
      <x v="10"/>
    </i>
    <i t="grand">
      <x/>
    </i>
  </rowItems>
  <colFields count="1">
    <field x="-2"/>
  </colFields>
  <colItems count="2">
    <i>
      <x/>
    </i>
    <i i="1">
      <x v="1"/>
    </i>
  </colItems>
  <dataFields count="2">
    <dataField name="Joining Count" fld="0" subtotal="count" baseField="0" baseItem="0"/>
    <dataField name="Count of Emp_ID" fld="0" subtotal="count" baseField="34" baseItem="1"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CE5917-635B-4207-B3A2-AF624BF3F6F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59:D267" firstHeaderRow="1"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0"/>
        <item x="4"/>
        <item x="1"/>
        <item x="3"/>
        <item x="2"/>
        <item t="default"/>
      </items>
    </pivotField>
    <pivotField showAll="0"/>
    <pivotField showAll="0"/>
    <pivotField showAll="0"/>
    <pivotField showAll="0"/>
    <pivotField axis="axisRow" showAll="0">
      <items count="9">
        <item x="2"/>
        <item m="1" x="7"/>
        <item x="0"/>
        <item x="5"/>
        <item x="4"/>
        <item x="6"/>
        <item x="1"/>
        <item x="3"/>
        <item t="default"/>
      </items>
    </pivotField>
    <pivotField showAll="0">
      <items count="4">
        <item x="1"/>
        <item x="0"/>
        <item x="2"/>
        <item t="default"/>
      </items>
    </pivotField>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2">
        <item x="0"/>
        <item x="1"/>
      </items>
    </pivotField>
  </pivotFields>
  <rowFields count="1">
    <field x="29"/>
  </rowFields>
  <rowItems count="8">
    <i>
      <x/>
    </i>
    <i>
      <x v="2"/>
    </i>
    <i>
      <x v="3"/>
    </i>
    <i>
      <x v="4"/>
    </i>
    <i>
      <x v="5"/>
    </i>
    <i>
      <x v="6"/>
    </i>
    <i>
      <x v="7"/>
    </i>
    <i t="grand">
      <x/>
    </i>
  </rowItems>
  <colItems count="1">
    <i/>
  </colItems>
  <dataFields count="1">
    <dataField name="Count of Emp_ID" fld="0" subtotal="count" baseField="0" baseItem="0"/>
  </dataFields>
  <chartFormats count="3">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10B711-49C6-4E7F-BD7C-56AFEA07AAE9}" name="PivotTable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B163:D171" firstHeaderRow="1" firstDataRow="1" firstDataCol="2"/>
  <pivotFields count="32">
    <pivotField dataField="1" compact="0" outline="0" showAll="0" defaultSubtotal="0"/>
    <pivotField compact="0" numFmtId="14"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2"/>
        <item x="4"/>
        <item x="6"/>
        <item x="5"/>
        <item x="7"/>
        <item x="1"/>
        <item x="3"/>
        <item x="0"/>
      </items>
    </pivotField>
    <pivotField axis="axisRow" compact="0" outline="0" showAll="0" defaultSubtotal="0">
      <items count="3">
        <item x="1"/>
        <item x="0"/>
        <item x="2"/>
      </items>
    </pivotField>
    <pivotField compact="0" outline="0" showAll="0" defaultSubtotal="0"/>
  </pivotFields>
  <rowFields count="2">
    <field x="30"/>
    <field x="29"/>
  </rowFields>
  <rowItems count="8">
    <i>
      <x/>
      <x v="2"/>
    </i>
    <i r="1">
      <x v="5"/>
    </i>
    <i>
      <x v="1"/>
      <x/>
    </i>
    <i r="1">
      <x v="1"/>
    </i>
    <i r="1">
      <x v="3"/>
    </i>
    <i r="1">
      <x v="7"/>
    </i>
    <i>
      <x v="2"/>
      <x v="4"/>
    </i>
    <i r="1">
      <x v="6"/>
    </i>
  </rowItems>
  <colItems count="1">
    <i/>
  </colItems>
  <dataFields count="1">
    <dataField name="Count of Emp_ID" fld="0"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7F229-0BDD-49CA-9C25-4248E13C26BC}"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6:C230" firstHeaderRow="1" firstDataRow="1" firstDataCol="1"/>
  <pivotFields count="36">
    <pivotField showAll="0"/>
    <pivotField numFmtId="14" showAll="0"/>
    <pivotField axis="axisRow" showAll="0" sortType="descending">
      <items count="6">
        <item h="1" x="0"/>
        <item x="1"/>
        <item x="2"/>
        <item x="3"/>
        <item x="4"/>
        <item t="default"/>
      </items>
      <autoSortScope>
        <pivotArea dataOnly="0" outline="0" fieldPosition="0">
          <references count="1">
            <reference field="4294967294" count="1" selected="0">
              <x v="0"/>
            </reference>
          </references>
        </pivotArea>
      </autoSortScope>
    </pivotField>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0"/>
        <item x="4"/>
        <item x="1"/>
        <item x="3"/>
        <item x="2"/>
        <item t="default"/>
      </items>
    </pivotField>
    <pivotField showAll="0"/>
    <pivotField showAll="0"/>
    <pivotField showAll="0"/>
    <pivotField showAll="0"/>
    <pivotField showAll="0"/>
    <pivotField showAll="0">
      <items count="4">
        <item x="1"/>
        <item x="0"/>
        <item x="2"/>
        <item t="default"/>
      </items>
    </pivotField>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2">
        <item x="0"/>
        <item x="1"/>
      </items>
    </pivotField>
  </pivotFields>
  <rowFields count="1">
    <field x="2"/>
  </rowFields>
  <rowItems count="4">
    <i>
      <x v="3"/>
    </i>
    <i>
      <x v="2"/>
    </i>
    <i>
      <x v="1"/>
    </i>
    <i t="grand">
      <x/>
    </i>
  </rowItems>
  <colItems count="1">
    <i/>
  </colItems>
  <dataFields count="1">
    <dataField name="Average of Total_Salary" fld="11" subtotal="average" baseField="2" baseItem="2"/>
  </dataFields>
  <formats count="1">
    <format dxfId="0">
      <pivotArea collapsedLevelsAreSubtotals="1" fieldPosition="0">
        <references count="1">
          <reference field="2"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94209C-E689-487A-81D4-F64717C71F19}"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321:E328" firstHeaderRow="1" firstDataRow="2" firstDataCol="1"/>
  <pivotFields count="36">
    <pivotField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0"/>
        <item x="4"/>
        <item x="1"/>
        <item x="3"/>
        <item x="2"/>
        <item t="default"/>
      </items>
    </pivotField>
    <pivotField showAll="0"/>
    <pivotField showAll="0"/>
    <pivotField axis="axisCol" showAll="0">
      <items count="4">
        <item m="1" x="2"/>
        <item x="1"/>
        <item x="0"/>
        <item t="default"/>
      </items>
    </pivotField>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2">
        <item x="0"/>
        <item x="1"/>
      </items>
    </pivotField>
  </pivotFields>
  <rowFields count="1">
    <field x="24"/>
  </rowFields>
  <rowItems count="6">
    <i>
      <x/>
    </i>
    <i>
      <x v="1"/>
    </i>
    <i>
      <x v="2"/>
    </i>
    <i>
      <x v="3"/>
    </i>
    <i>
      <x v="4"/>
    </i>
    <i>
      <x v="5"/>
    </i>
  </rowItems>
  <colFields count="1">
    <field x="27"/>
  </colFields>
  <colItems count="2">
    <i>
      <x v="1"/>
    </i>
    <i>
      <x v="2"/>
    </i>
  </colItems>
  <dataFields count="1">
    <dataField name="Sum of Total_Salary" fld="11" baseField="0" baseItem="0"/>
  </dataFields>
  <chartFormats count="8">
    <chartFormat chart="0" format="0" series="1">
      <pivotArea type="data" outline="0" fieldPosition="0">
        <references count="2">
          <reference field="4294967294" count="1" selected="0">
            <x v="0"/>
          </reference>
          <reference field="27" count="1" selected="0">
            <x v="1"/>
          </reference>
        </references>
      </pivotArea>
    </chartFormat>
    <chartFormat chart="0" format="1" series="1">
      <pivotArea type="data" outline="0" fieldPosition="0">
        <references count="2">
          <reference field="4294967294" count="1" selected="0">
            <x v="0"/>
          </reference>
          <reference field="27" count="1" selected="0">
            <x v="2"/>
          </reference>
        </references>
      </pivotArea>
    </chartFormat>
    <chartFormat chart="3" format="2" series="1">
      <pivotArea type="data" outline="0" fieldPosition="0">
        <references count="2">
          <reference field="4294967294" count="1" selected="0">
            <x v="0"/>
          </reference>
          <reference field="27" count="1" selected="0">
            <x v="1"/>
          </reference>
        </references>
      </pivotArea>
    </chartFormat>
    <chartFormat chart="3" format="3" series="1">
      <pivotArea type="data" outline="0" fieldPosition="0">
        <references count="2">
          <reference field="4294967294" count="1" selected="0">
            <x v="0"/>
          </reference>
          <reference field="27" count="1" selected="0">
            <x v="2"/>
          </reference>
        </references>
      </pivotArea>
    </chartFormat>
    <chartFormat chart="4" format="4" series="1">
      <pivotArea type="data" outline="0" fieldPosition="0">
        <references count="2">
          <reference field="4294967294" count="1" selected="0">
            <x v="0"/>
          </reference>
          <reference field="27" count="1" selected="0">
            <x v="1"/>
          </reference>
        </references>
      </pivotArea>
    </chartFormat>
    <chartFormat chart="4" format="5" series="1">
      <pivotArea type="data" outline="0" fieldPosition="0">
        <references count="2">
          <reference field="4294967294" count="1" selected="0">
            <x v="0"/>
          </reference>
          <reference field="27" count="1" selected="0">
            <x v="2"/>
          </reference>
        </references>
      </pivotArea>
    </chartFormat>
    <chartFormat chart="6" format="8" series="1">
      <pivotArea type="data" outline="0" fieldPosition="0">
        <references count="2">
          <reference field="4294967294" count="1" selected="0">
            <x v="0"/>
          </reference>
          <reference field="27" count="1" selected="0">
            <x v="1"/>
          </reference>
        </references>
      </pivotArea>
    </chartFormat>
    <chartFormat chart="6" format="9"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0B190-55F1-4B65-B941-3CE2EED1AD96}"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08:D314" firstHeaderRow="1"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axis="axisRow"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0"/>
        <item x="4"/>
        <item x="1"/>
        <item x="3"/>
        <item x="2"/>
        <item t="default"/>
      </items>
    </pivotField>
    <pivotField showAll="0"/>
    <pivotField showAll="0"/>
    <pivotField showAll="0"/>
    <pivotField showAll="0"/>
    <pivotField showAll="0"/>
    <pivotField showAll="0">
      <items count="4">
        <item x="1"/>
        <item x="0"/>
        <item x="2"/>
        <item t="default"/>
      </items>
    </pivotField>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2">
        <item x="0"/>
        <item x="1"/>
      </items>
    </pivotField>
  </pivotFields>
  <rowFields count="1">
    <field x="4"/>
  </rowFields>
  <rowItems count="6">
    <i>
      <x/>
    </i>
    <i>
      <x v="1"/>
    </i>
    <i>
      <x v="2"/>
    </i>
    <i>
      <x v="3"/>
    </i>
    <i>
      <x v="4"/>
    </i>
    <i t="grand">
      <x/>
    </i>
  </rowItems>
  <colItems count="1">
    <i/>
  </colItems>
  <dataFields count="1">
    <dataField name="Count of Emp_ID" fld="0" subtotal="count" baseField="0" baseItem="0"/>
  </dataFields>
  <chartFormats count="30">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4" count="1" selected="0">
            <x v="0"/>
          </reference>
        </references>
      </pivotArea>
    </chartFormat>
    <chartFormat chart="7" format="15">
      <pivotArea type="data" outline="0" fieldPosition="0">
        <references count="2">
          <reference field="4294967294" count="1" selected="0">
            <x v="0"/>
          </reference>
          <reference field="4" count="1" selected="0">
            <x v="1"/>
          </reference>
        </references>
      </pivotArea>
    </chartFormat>
    <chartFormat chart="7" format="16">
      <pivotArea type="data" outline="0" fieldPosition="0">
        <references count="2">
          <reference field="4294967294" count="1" selected="0">
            <x v="0"/>
          </reference>
          <reference field="4" count="1" selected="0">
            <x v="2"/>
          </reference>
        </references>
      </pivotArea>
    </chartFormat>
    <chartFormat chart="7" format="17">
      <pivotArea type="data" outline="0" fieldPosition="0">
        <references count="2">
          <reference field="4294967294" count="1" selected="0">
            <x v="0"/>
          </reference>
          <reference field="4" count="1" selected="0">
            <x v="3"/>
          </reference>
        </references>
      </pivotArea>
    </chartFormat>
    <chartFormat chart="7" format="18">
      <pivotArea type="data" outline="0" fieldPosition="0">
        <references count="2">
          <reference field="4294967294" count="1" selected="0">
            <x v="0"/>
          </reference>
          <reference field="4"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4" count="1" selected="0">
            <x v="0"/>
          </reference>
        </references>
      </pivotArea>
    </chartFormat>
    <chartFormat chart="8" format="21">
      <pivotArea type="data" outline="0" fieldPosition="0">
        <references count="2">
          <reference field="4294967294" count="1" selected="0">
            <x v="0"/>
          </reference>
          <reference field="4" count="1" selected="0">
            <x v="1"/>
          </reference>
        </references>
      </pivotArea>
    </chartFormat>
    <chartFormat chart="8" format="22">
      <pivotArea type="data" outline="0" fieldPosition="0">
        <references count="2">
          <reference field="4294967294" count="1" selected="0">
            <x v="0"/>
          </reference>
          <reference field="4" count="1" selected="0">
            <x v="2"/>
          </reference>
        </references>
      </pivotArea>
    </chartFormat>
    <chartFormat chart="8" format="23">
      <pivotArea type="data" outline="0" fieldPosition="0">
        <references count="2">
          <reference field="4294967294" count="1" selected="0">
            <x v="0"/>
          </reference>
          <reference field="4" count="1" selected="0">
            <x v="3"/>
          </reference>
        </references>
      </pivotArea>
    </chartFormat>
    <chartFormat chart="8" format="24">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5FB765-C980-4BF0-B875-4EBD80AA0E7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9:C157" firstHeaderRow="1"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5"/>
        <item x="4"/>
        <item x="6"/>
        <item x="1"/>
        <item x="3"/>
        <item m="1" x="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s>
  <rowFields count="1">
    <field x="29"/>
  </rowFields>
  <rowItems count="8">
    <i>
      <x/>
    </i>
    <i>
      <x v="1"/>
    </i>
    <i>
      <x v="2"/>
    </i>
    <i>
      <x v="3"/>
    </i>
    <i>
      <x v="4"/>
    </i>
    <i>
      <x v="5"/>
    </i>
    <i>
      <x v="6"/>
    </i>
    <i t="grand">
      <x/>
    </i>
  </rowItems>
  <colItems count="1">
    <i/>
  </colItems>
  <dataFields count="1">
    <dataField name="Count of Em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D34159-1E06-4C03-83AA-94CBF541FD6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9:C222" firstHeaderRow="1"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axis="axisRow"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0"/>
        <item x="4"/>
        <item x="1"/>
        <item x="3"/>
        <item x="2"/>
        <item t="default"/>
      </items>
    </pivotField>
    <pivotField showAll="0"/>
    <pivotField showAll="0"/>
    <pivotField showAll="0"/>
    <pivotField showAll="0"/>
    <pivotField showAll="0"/>
    <pivotField showAll="0">
      <items count="4">
        <item x="1"/>
        <item x="0"/>
        <item x="2"/>
        <item t="default"/>
      </items>
    </pivotField>
    <pivotField showAll="0"/>
    <pivotField showAll="0" defaultSubtotal="0"/>
    <pivotField showAll="0" defaultSubtotal="0"/>
    <pivotField showAll="0" defaultSubtotal="0">
      <items count="12">
        <item x="0"/>
        <item x="1"/>
        <item x="2"/>
        <item x="3"/>
        <item x="4"/>
        <item x="5"/>
        <item x="6"/>
        <item x="7"/>
        <item x="8"/>
        <item x="9"/>
        <item x="10"/>
        <item x="11"/>
      </items>
    </pivotField>
    <pivotField axis="axisRow" showAll="0">
      <items count="3">
        <item n="Non-Managers" sd="0" x="1"/>
        <item n="Managers" sd="0" x="0"/>
        <item t="default"/>
      </items>
    </pivotField>
  </pivotFields>
  <rowFields count="2">
    <field x="35"/>
    <field x="6"/>
  </rowFields>
  <rowItems count="3">
    <i>
      <x/>
    </i>
    <i>
      <x v="1"/>
    </i>
    <i t="grand">
      <x/>
    </i>
  </rowItems>
  <colItems count="1">
    <i/>
  </colItems>
  <dataFields count="1">
    <dataField name="Count of Em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375573-9763-4010-BAC4-0AD28B8D36A4}" name="PivotTable1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289:D301" firstHeaderRow="1" firstDataRow="1" firstDataCol="1"/>
  <pivotFields count="36">
    <pivotField dataField="1"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0"/>
        <item x="4"/>
        <item x="1"/>
        <item x="3"/>
        <item x="2"/>
        <item t="default"/>
      </items>
    </pivotField>
    <pivotField showAll="0"/>
    <pivotField showAll="0"/>
    <pivotField showAll="0"/>
    <pivotField showAll="0"/>
    <pivotField showAll="0"/>
    <pivotField showAll="0">
      <items count="4">
        <item x="1"/>
        <item x="0"/>
        <item x="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2">
        <item sd="0" x="0"/>
        <item sd="0" x="1"/>
        <item sd="0" x="2"/>
        <item sd="0" x="3"/>
        <item sd="0" x="4"/>
        <item sd="0" x="5"/>
        <item sd="0" x="6"/>
        <item sd="0" x="7"/>
        <item sd="0" x="8"/>
        <item sd="0" x="9"/>
        <item sd="0" x="10"/>
        <item sd="0" x="11"/>
      </items>
    </pivotField>
    <pivotField showAll="0" defaultSubtotal="0">
      <items count="2">
        <item x="0"/>
        <item x="1"/>
      </items>
    </pivotField>
  </pivotFields>
  <rowFields count="1">
    <field x="32"/>
  </rowFields>
  <rowItems count="12">
    <i>
      <x v="1"/>
    </i>
    <i>
      <x v="2"/>
    </i>
    <i>
      <x v="3"/>
    </i>
    <i>
      <x v="4"/>
    </i>
    <i>
      <x v="5"/>
    </i>
    <i>
      <x v="6"/>
    </i>
    <i>
      <x v="7"/>
    </i>
    <i>
      <x v="8"/>
    </i>
    <i>
      <x v="9"/>
    </i>
    <i>
      <x v="10"/>
    </i>
    <i>
      <x v="11"/>
    </i>
    <i>
      <x v="12"/>
    </i>
  </rowItems>
  <colItems count="1">
    <i/>
  </colItems>
  <dataFields count="1">
    <dataField name="Count of Emp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2632B-F685-42FA-BD3D-6793F09C65B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4:C121" firstHeaderRow="1" firstDataRow="1" firstDataCol="1"/>
  <pivotFields count="32">
    <pivotField showAll="0"/>
    <pivotField numFmtId="14" showAll="0"/>
    <pivotField showAll="0"/>
    <pivotField numFmtId="14" showAll="0"/>
    <pivotField showAll="0"/>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0"/>
        <item x="4"/>
        <item x="1"/>
        <item x="3"/>
        <item x="2"/>
        <item t="default"/>
      </items>
    </pivotField>
    <pivotField showAll="0"/>
    <pivotField showAll="0"/>
    <pivotField showAll="0"/>
    <pivotField showAll="0"/>
    <pivotField showAll="0"/>
    <pivotField showAll="0"/>
    <pivotField showAll="0"/>
  </pivotFields>
  <rowFields count="1">
    <field x="24"/>
  </rowFields>
  <rowItems count="7">
    <i>
      <x/>
    </i>
    <i>
      <x v="1"/>
    </i>
    <i>
      <x v="2"/>
    </i>
    <i>
      <x v="3"/>
    </i>
    <i>
      <x v="4"/>
    </i>
    <i>
      <x v="5"/>
    </i>
    <i t="grand">
      <x/>
    </i>
  </rowItems>
  <colItems count="1">
    <i/>
  </colItems>
  <dataFields count="1">
    <dataField name="Sum of Total_Salar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27B192-91C5-4E80-8B59-315679C288E3}"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9:F212" firstHeaderRow="0" firstDataRow="1" firstDataCol="1"/>
  <pivotFields count="36">
    <pivotField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showAll="0"/>
    <pivotField dataField="1" showAll="0"/>
    <pivotField dataField="1" showAll="0"/>
    <pivotField dataField="1" showAll="0"/>
    <pivotField dataField="1" showAll="0"/>
    <pivotField axis="axisRow" showAll="0" sortType="descending">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items count="3">
        <item x="1"/>
        <item x="0"/>
        <item t="default"/>
      </items>
    </pivotField>
  </pivotFields>
  <rowFields count="1">
    <field x="16"/>
  </rowFields>
  <rowItems count="3">
    <i>
      <x/>
    </i>
    <i>
      <x v="1"/>
    </i>
    <i t="grand">
      <x/>
    </i>
  </rowItems>
  <colFields count="1">
    <field x="-2"/>
  </colFields>
  <colItems count="4">
    <i>
      <x/>
    </i>
    <i i="1">
      <x v="1"/>
    </i>
    <i i="2">
      <x v="2"/>
    </i>
    <i i="3">
      <x v="3"/>
    </i>
  </colItems>
  <dataFields count="4">
    <dataField name="Average of Years_of_Experience" fld="12" subtotal="average" baseField="16" baseItem="0"/>
    <dataField name="Average of Certifications" fld="15" subtotal="average" baseField="16" baseItem="0"/>
    <dataField name="Average of Attendance_Percentage" fld="14" subtotal="average" baseField="16" baseItem="0"/>
    <dataField name="Average of Performance_Rating" fld="13"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19CEB2-13C7-4B6A-A310-B36328F3EA0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6:F203" firstHeaderRow="0" firstDataRow="1" firstDataCol="1"/>
  <pivotFields count="36">
    <pivotField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
        <item x="5"/>
        <item x="0"/>
        <item x="4"/>
        <item x="1"/>
        <item x="3"/>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items count="3">
        <item x="1"/>
        <item x="0"/>
        <item t="default"/>
      </items>
    </pivotField>
  </pivotFields>
  <rowFields count="1">
    <field x="24"/>
  </rowFields>
  <rowItems count="7">
    <i>
      <x/>
    </i>
    <i>
      <x v="1"/>
    </i>
    <i>
      <x v="2"/>
    </i>
    <i>
      <x v="3"/>
    </i>
    <i>
      <x v="4"/>
    </i>
    <i>
      <x v="5"/>
    </i>
    <i t="grand">
      <x/>
    </i>
  </rowItems>
  <colFields count="1">
    <field x="-2"/>
  </colFields>
  <colItems count="4">
    <i>
      <x/>
    </i>
    <i i="1">
      <x v="1"/>
    </i>
    <i i="2">
      <x v="2"/>
    </i>
    <i i="3">
      <x v="3"/>
    </i>
  </colItems>
  <dataFields count="4">
    <dataField name="Total_sal" fld="11" baseField="24" baseItem="0"/>
    <dataField name="Min_sal" fld="11" subtotal="min" baseField="24" baseItem="0"/>
    <dataField name="Max_Sal" fld="11" subtotal="max" baseField="24" baseItem="0"/>
    <dataField name="Average_Sal" fld="11" subtotal="average" baseField="24" baseItem="0"/>
  </dataFields>
  <formats count="1">
    <format dxfId="1">
      <pivotArea collapsedLevelsAreSubtotals="1" fieldPosition="0">
        <references count="1">
          <reference field="2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08B662-D27D-45C4-A8E0-97BFF37A5554}"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75:D282" firstHeaderRow="1" firstDataRow="1" firstDataCol="1"/>
  <pivotFields count="36">
    <pivotField showAll="0"/>
    <pivotField numFmtId="14" showAll="0"/>
    <pivotField showAll="0"/>
    <pivotField numFmtId="14" showAll="0">
      <items count="101">
        <item x="0"/>
        <item x="15"/>
        <item x="50"/>
        <item x="6"/>
        <item x="1"/>
        <item x="4"/>
        <item x="2"/>
        <item x="39"/>
        <item x="16"/>
        <item x="25"/>
        <item x="8"/>
        <item x="37"/>
        <item x="43"/>
        <item x="31"/>
        <item x="29"/>
        <item x="17"/>
        <item x="46"/>
        <item x="3"/>
        <item x="45"/>
        <item x="41"/>
        <item x="20"/>
        <item x="47"/>
        <item x="28"/>
        <item x="27"/>
        <item x="40"/>
        <item x="54"/>
        <item x="23"/>
        <item x="55"/>
        <item x="48"/>
        <item x="11"/>
        <item x="59"/>
        <item x="60"/>
        <item x="22"/>
        <item x="9"/>
        <item x="24"/>
        <item x="30"/>
        <item x="61"/>
        <item x="32"/>
        <item x="56"/>
        <item x="73"/>
        <item x="38"/>
        <item x="7"/>
        <item x="57"/>
        <item x="5"/>
        <item x="21"/>
        <item x="36"/>
        <item x="49"/>
        <item x="33"/>
        <item x="64"/>
        <item x="10"/>
        <item x="71"/>
        <item x="12"/>
        <item x="34"/>
        <item x="67"/>
        <item x="51"/>
        <item x="35"/>
        <item x="18"/>
        <item x="68"/>
        <item x="70"/>
        <item x="78"/>
        <item x="26"/>
        <item x="14"/>
        <item x="76"/>
        <item x="44"/>
        <item x="62"/>
        <item x="92"/>
        <item x="84"/>
        <item x="83"/>
        <item x="58"/>
        <item x="63"/>
        <item x="52"/>
        <item x="97"/>
        <item x="99"/>
        <item x="74"/>
        <item x="42"/>
        <item x="96"/>
        <item x="53"/>
        <item x="65"/>
        <item x="79"/>
        <item x="69"/>
        <item x="94"/>
        <item x="13"/>
        <item x="77"/>
        <item x="81"/>
        <item x="75"/>
        <item x="85"/>
        <item x="89"/>
        <item x="86"/>
        <item x="72"/>
        <item x="88"/>
        <item x="82"/>
        <item x="87"/>
        <item x="19"/>
        <item x="66"/>
        <item x="91"/>
        <item x="93"/>
        <item x="80"/>
        <item x="90"/>
        <item x="95"/>
        <item x="98"/>
        <item t="default"/>
      </items>
    </pivotField>
    <pivotField showAll="0">
      <items count="6">
        <item x="2"/>
        <item x="4"/>
        <item x="1"/>
        <item x="3"/>
        <item x="0"/>
        <item t="default"/>
      </items>
    </pivotField>
    <pivotField showAll="0"/>
    <pivotField showAll="0">
      <items count="101">
        <item x="73"/>
        <item x="75"/>
        <item x="81"/>
        <item x="52"/>
        <item x="68"/>
        <item x="62"/>
        <item x="38"/>
        <item x="20"/>
        <item x="5"/>
        <item x="44"/>
        <item x="79"/>
        <item x="29"/>
        <item x="99"/>
        <item x="8"/>
        <item x="61"/>
        <item x="51"/>
        <item x="49"/>
        <item x="53"/>
        <item x="67"/>
        <item x="19"/>
        <item x="40"/>
        <item x="25"/>
        <item x="86"/>
        <item x="24"/>
        <item x="31"/>
        <item x="42"/>
        <item x="97"/>
        <item x="88"/>
        <item x="11"/>
        <item x="92"/>
        <item x="64"/>
        <item x="6"/>
        <item x="54"/>
        <item x="17"/>
        <item x="80"/>
        <item x="89"/>
        <item x="33"/>
        <item x="98"/>
        <item x="12"/>
        <item x="70"/>
        <item x="65"/>
        <item x="94"/>
        <item x="55"/>
        <item x="57"/>
        <item x="48"/>
        <item x="1"/>
        <item x="93"/>
        <item x="27"/>
        <item x="77"/>
        <item x="28"/>
        <item x="13"/>
        <item x="47"/>
        <item x="85"/>
        <item x="76"/>
        <item x="22"/>
        <item x="72"/>
        <item x="7"/>
        <item x="46"/>
        <item x="3"/>
        <item x="69"/>
        <item x="36"/>
        <item x="58"/>
        <item x="63"/>
        <item x="4"/>
        <item x="23"/>
        <item x="74"/>
        <item x="14"/>
        <item x="26"/>
        <item x="16"/>
        <item x="82"/>
        <item x="66"/>
        <item x="32"/>
        <item x="96"/>
        <item x="10"/>
        <item x="56"/>
        <item x="45"/>
        <item x="83"/>
        <item x="78"/>
        <item x="21"/>
        <item x="43"/>
        <item x="35"/>
        <item x="39"/>
        <item x="15"/>
        <item x="87"/>
        <item x="90"/>
        <item x="30"/>
        <item x="9"/>
        <item x="71"/>
        <item x="50"/>
        <item x="34"/>
        <item x="60"/>
        <item x="18"/>
        <item x="95"/>
        <item x="37"/>
        <item x="84"/>
        <item x="59"/>
        <item x="91"/>
        <item x="0"/>
        <item x="2"/>
        <item x="4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0"/>
        <item x="4"/>
        <item x="1"/>
        <item x="3"/>
        <item x="2"/>
        <item t="default"/>
      </items>
    </pivotField>
    <pivotField showAll="0"/>
    <pivotField showAll="0"/>
    <pivotField showAll="0">
      <items count="4">
        <item m="1" x="2"/>
        <item x="1"/>
        <item x="0"/>
        <item t="default"/>
      </items>
    </pivotField>
    <pivotField showAll="0"/>
    <pivotField showAll="0"/>
    <pivotField showAll="0">
      <items count="4">
        <item x="1"/>
        <item x="0"/>
        <item x="2"/>
        <item t="default"/>
      </items>
    </pivotField>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2">
        <item x="0"/>
        <item x="1"/>
      </items>
    </pivotField>
  </pivotFields>
  <rowFields count="1">
    <field x="24"/>
  </rowFields>
  <rowItems count="7">
    <i>
      <x/>
    </i>
    <i>
      <x v="1"/>
    </i>
    <i>
      <x v="2"/>
    </i>
    <i>
      <x v="3"/>
    </i>
    <i>
      <x v="4"/>
    </i>
    <i>
      <x v="5"/>
    </i>
    <i t="grand">
      <x/>
    </i>
  </rowItems>
  <colItems count="1">
    <i/>
  </colItems>
  <dataFields count="1">
    <dataField name="Sum of Total_Salary" fld="11"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A72D2CC8-C4BD-491F-992D-3947A6408A8B}" sourceName="Dept_Name">
  <pivotTables>
    <pivotTable tabId="11" name="PivotTable13"/>
    <pivotTable tabId="11" name="PivotTable10"/>
    <pivotTable tabId="11" name="PivotTable11"/>
    <pivotTable tabId="11" name="PivotTable12"/>
    <pivotTable tabId="11" name="PivotTable14"/>
    <pivotTable tabId="11" name="PivotTable15"/>
  </pivotTables>
  <data>
    <tabular pivotCacheId="988552160">
      <items count="6">
        <i x="5" s="1"/>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8713CD-A44F-4E47-9FD3-B073D0F55FD2}" sourceName="Region">
  <pivotTables>
    <pivotTable tabId="11" name="PivotTable13"/>
    <pivotTable tabId="11" name="PivotTable10"/>
    <pivotTable tabId="11" name="PivotTable11"/>
    <pivotTable tabId="11" name="PivotTable12"/>
    <pivotTable tabId="11" name="PivotTable14"/>
    <pivotTable tabId="11" name="PivotTable15"/>
  </pivotTables>
  <data>
    <tabular pivotCacheId="9885521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xr10:uid="{F5EEECEE-A8D6-444A-B3AE-AA082ACCA41F}" cache="Slicer_Dept_Name" caption="Dept_Name" rowHeight="251883"/>
  <slicer name="Region" xr10:uid="{6471BBF3-A4A9-4490-97AB-999736C2AE3F}"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EBDB-77A1-4D29-829F-90D7C50E905C}">
  <dimension ref="A1:AG159"/>
  <sheetViews>
    <sheetView tabSelected="1" topLeftCell="A115" zoomScale="108" zoomScaleNormal="108" workbookViewId="0">
      <selection sqref="A1:AF101"/>
    </sheetView>
  </sheetViews>
  <sheetFormatPr defaultRowHeight="14.5" x14ac:dyDescent="0.35"/>
  <cols>
    <col min="1" max="1" width="7.90625" customWidth="1"/>
    <col min="2" max="2" width="11.7265625" bestFit="1" customWidth="1"/>
    <col min="3" max="3" width="12.08984375" customWidth="1"/>
    <col min="4" max="4" width="10.08984375" bestFit="1" customWidth="1"/>
    <col min="5" max="5" width="11.54296875" bestFit="1" customWidth="1"/>
    <col min="6" max="6" width="16.36328125" customWidth="1"/>
    <col min="7" max="7" width="18.08984375" customWidth="1"/>
    <col min="8" max="8" width="15.453125" bestFit="1" customWidth="1"/>
    <col min="9" max="9" width="10.36328125" bestFit="1" customWidth="1"/>
    <col min="10" max="10" width="12.81640625" customWidth="1"/>
    <col min="11" max="11" width="9.1796875" bestFit="1" customWidth="1"/>
    <col min="12" max="12" width="10.90625" bestFit="1" customWidth="1"/>
    <col min="13" max="13" width="17.7265625" customWidth="1"/>
    <col min="14" max="14" width="11.453125" customWidth="1"/>
    <col min="15" max="15" width="11.54296875" customWidth="1"/>
    <col min="16" max="16" width="11.81640625" bestFit="1" customWidth="1"/>
    <col min="17" max="17" width="15.81640625" customWidth="1"/>
    <col min="18" max="18" width="11.54296875" customWidth="1"/>
    <col min="19" max="19" width="18.36328125" customWidth="1"/>
    <col min="20" max="20" width="12" customWidth="1"/>
    <col min="21" max="21" width="8.7265625" customWidth="1"/>
    <col min="22" max="22" width="12" customWidth="1"/>
    <col min="23" max="23" width="14.36328125" customWidth="1"/>
    <col min="24" max="24" width="15.6328125" customWidth="1"/>
    <col min="25" max="25" width="12" customWidth="1"/>
    <col min="29" max="29" width="11.36328125" customWidth="1"/>
    <col min="32" max="32" width="14.6328125" customWidth="1"/>
  </cols>
  <sheetData>
    <row r="1" spans="1:33" x14ac:dyDescent="0.35">
      <c r="A1" s="2" t="s">
        <v>259</v>
      </c>
      <c r="B1" s="2" t="s">
        <v>0</v>
      </c>
      <c r="C1" s="2" t="s">
        <v>1</v>
      </c>
      <c r="D1" s="2" t="s">
        <v>2</v>
      </c>
      <c r="E1" s="2" t="s">
        <v>3</v>
      </c>
      <c r="F1" s="2" t="s">
        <v>4</v>
      </c>
      <c r="G1" s="2" t="s">
        <v>5</v>
      </c>
      <c r="H1" s="2" t="s">
        <v>6</v>
      </c>
      <c r="I1" s="2" t="s">
        <v>9</v>
      </c>
      <c r="J1" s="2" t="s">
        <v>10</v>
      </c>
      <c r="K1" s="2" t="s">
        <v>11</v>
      </c>
      <c r="L1" s="2" t="s">
        <v>422</v>
      </c>
      <c r="M1" s="2" t="s">
        <v>16</v>
      </c>
      <c r="N1" s="2" t="s">
        <v>12</v>
      </c>
      <c r="O1" s="2" t="s">
        <v>13</v>
      </c>
      <c r="P1" s="2" t="s">
        <v>14</v>
      </c>
      <c r="Q1" s="2" t="s">
        <v>17</v>
      </c>
      <c r="R1" s="2" t="s">
        <v>18</v>
      </c>
      <c r="S1" s="2" t="s">
        <v>19</v>
      </c>
      <c r="T1" s="2" t="s">
        <v>20</v>
      </c>
      <c r="U1" s="14" t="s">
        <v>261</v>
      </c>
      <c r="V1" s="14" t="s">
        <v>262</v>
      </c>
      <c r="W1" s="14" t="s">
        <v>428</v>
      </c>
      <c r="X1" s="14" t="s">
        <v>429</v>
      </c>
      <c r="Y1" s="14" t="s">
        <v>265</v>
      </c>
      <c r="Z1" s="14" t="s">
        <v>430</v>
      </c>
      <c r="AA1" s="14" t="s">
        <v>431</v>
      </c>
      <c r="AB1" s="2" t="s">
        <v>260</v>
      </c>
      <c r="AC1" s="2" t="s">
        <v>15</v>
      </c>
      <c r="AD1" s="2" t="s">
        <v>7</v>
      </c>
      <c r="AE1" s="2" t="s">
        <v>8</v>
      </c>
      <c r="AF1" s="14" t="s">
        <v>437</v>
      </c>
    </row>
    <row r="2" spans="1:33" x14ac:dyDescent="0.35">
      <c r="A2" s="1" t="s">
        <v>207</v>
      </c>
      <c r="B2" s="5">
        <v>31339</v>
      </c>
      <c r="C2" s="1">
        <v>39</v>
      </c>
      <c r="D2" s="5">
        <v>41983</v>
      </c>
      <c r="E2" s="1" t="s">
        <v>42</v>
      </c>
      <c r="F2" s="1" t="s">
        <v>43</v>
      </c>
      <c r="G2" s="1" t="s">
        <v>208</v>
      </c>
      <c r="H2" s="1" t="s">
        <v>25</v>
      </c>
      <c r="I2" s="1" t="s">
        <v>47</v>
      </c>
      <c r="J2" s="6">
        <v>1450000</v>
      </c>
      <c r="K2" s="7">
        <v>165000</v>
      </c>
      <c r="L2" s="7">
        <f t="shared" ref="L2:L33" si="0">SUM(J2:K2)</f>
        <v>1615000</v>
      </c>
      <c r="M2" s="1">
        <v>19</v>
      </c>
      <c r="N2" s="8">
        <v>4.8</v>
      </c>
      <c r="O2" s="9">
        <v>99.1</v>
      </c>
      <c r="P2" s="1">
        <v>4</v>
      </c>
      <c r="Q2" s="1" t="s">
        <v>48</v>
      </c>
      <c r="R2" s="1" t="s">
        <v>31</v>
      </c>
      <c r="S2" s="5">
        <v>43819</v>
      </c>
      <c r="T2" s="1" t="s">
        <v>32</v>
      </c>
      <c r="U2" t="str">
        <f>VLOOKUP(A2,Emp_Info!$B$1:$G$101,3,0)</f>
        <v>vinay</v>
      </c>
      <c r="V2" t="str">
        <f>_xlfn.XLOOKUP(A2,Emp_Info!$B$2:$B$101,Emp_Info!$A$2:$A$101,,0)</f>
        <v>reddy</v>
      </c>
      <c r="W2" s="3" t="str">
        <f t="shared" ref="W2:W33" si="1">PROPER(_xlfn.CONCAT(U2," ",V2))</f>
        <v>Vinay Reddy</v>
      </c>
      <c r="X2" t="str">
        <f t="shared" ref="X2:X33" si="2">UPPER(_xlfn.CONCAT(LEFT(U2),LEFT(V2),RIGHT(A2,3)))</f>
        <v>VR075</v>
      </c>
      <c r="Y2" t="str">
        <f>HLOOKUP(F2,Dept_Info!$A$2:$I$3,2,0)</f>
        <v>Finance</v>
      </c>
      <c r="Z2">
        <f t="shared" ref="Z2:Z33" si="3">IF(Y2="Sales",L2+(L2*$AG$6),L2)</f>
        <v>1615000</v>
      </c>
      <c r="AA2" t="str">
        <f t="shared" ref="AA2:AA33" si="4">IF(J2&lt;700000,"Low",IF(AND(J2&gt;700000,J2&lt;900000),"Medium","High"))</f>
        <v>High</v>
      </c>
      <c r="AB2" t="s">
        <v>263</v>
      </c>
      <c r="AC2" t="str">
        <f>INDEX(Emp_Info!$B$1:$G$101,MATCH(HR_Data!$A18,Emp_Info!$B$2:$B$101,0),MATCH(HR_Data!AC$1,Emp_Info!$B$1:$G$1,0))</f>
        <v>Bachelor</v>
      </c>
      <c r="AD2" t="str">
        <f>INDEX(Emp_Info!$A$1:$G$101,MATCH(HR_Data!$A2,Emp_Info!$B$1:$B$101,0),MATCH(HR_Data!AD$1,Emp_Info!$A$1:$G$1,0))</f>
        <v>Chennai</v>
      </c>
      <c r="AE2" t="str">
        <f>INDEX(Emp_Info!$A$1:$G$101,MATCH(HR_Data!$A2,Emp_Info!$B$1:$B$101,0),MATCH(HR_Data!AE$1,Emp_Info!$A$1:$G$1,0))</f>
        <v>South</v>
      </c>
      <c r="AF2" t="str">
        <f t="shared" ref="AF2:AF33" si="5">IF(AND(P2&gt;=3,M2&gt;6),"Eligible","Not Eligible")</f>
        <v>Eligible</v>
      </c>
      <c r="AG2" s="10" t="s">
        <v>270</v>
      </c>
    </row>
    <row r="3" spans="1:33" x14ac:dyDescent="0.35">
      <c r="A3" s="1" t="s">
        <v>95</v>
      </c>
      <c r="B3" s="5">
        <v>31301</v>
      </c>
      <c r="C3" s="1">
        <v>39</v>
      </c>
      <c r="D3" s="5">
        <v>42070</v>
      </c>
      <c r="E3" s="1" t="s">
        <v>22</v>
      </c>
      <c r="F3" s="1" t="s">
        <v>23</v>
      </c>
      <c r="G3" s="1" t="s">
        <v>96</v>
      </c>
      <c r="H3" s="1" t="s">
        <v>25</v>
      </c>
      <c r="I3" s="1" t="s">
        <v>28</v>
      </c>
      <c r="J3" s="6">
        <v>1450000</v>
      </c>
      <c r="K3" s="7">
        <v>165000</v>
      </c>
      <c r="L3" s="7">
        <f t="shared" si="0"/>
        <v>1615000</v>
      </c>
      <c r="M3" s="1">
        <v>17</v>
      </c>
      <c r="N3" s="8">
        <v>4.8</v>
      </c>
      <c r="O3" s="9">
        <v>99.2</v>
      </c>
      <c r="P3" s="1">
        <v>5</v>
      </c>
      <c r="Q3" s="1" t="s">
        <v>48</v>
      </c>
      <c r="R3" s="1" t="s">
        <v>31</v>
      </c>
      <c r="S3" s="5">
        <v>43905</v>
      </c>
      <c r="T3" s="1" t="s">
        <v>32</v>
      </c>
      <c r="U3" t="str">
        <f>VLOOKUP(A3,Emp_Info!$B$1:$G$101,3,0)</f>
        <v>anil</v>
      </c>
      <c r="V3" t="str">
        <f>_xlfn.XLOOKUP(A3,Emp_Info!$B$2:$B$101,Emp_Info!$A$2:$A$101,,0)</f>
        <v>chopra</v>
      </c>
      <c r="W3" s="3" t="str">
        <f t="shared" si="1"/>
        <v>Anil Chopra</v>
      </c>
      <c r="X3" t="str">
        <f t="shared" si="2"/>
        <v>AC019</v>
      </c>
      <c r="Y3" t="str">
        <f>HLOOKUP(F3,Dept_Info!$A$2:$I$3,2,0)</f>
        <v>IT</v>
      </c>
      <c r="Z3">
        <f t="shared" si="3"/>
        <v>1615000</v>
      </c>
      <c r="AA3" t="str">
        <f t="shared" si="4"/>
        <v>High</v>
      </c>
      <c r="AB3" t="s">
        <v>263</v>
      </c>
      <c r="AC3" t="str">
        <f>INDEX(Emp_Info!$B$1:$G$101,MATCH(HR_Data!$A49,Emp_Info!$B$2:$B$101,0),MATCH(HR_Data!AC$1,Emp_Info!$B$1:$G$1,0))</f>
        <v>Master</v>
      </c>
      <c r="AD3" t="str">
        <f>INDEX(Emp_Info!$A$1:$G$101,MATCH(HR_Data!$A3,Emp_Info!$B$1:$B$101,0),MATCH(HR_Data!AD$1,Emp_Info!$A$1:$G$1,0))</f>
        <v>Noida</v>
      </c>
      <c r="AE3" t="str">
        <f>INDEX(Emp_Info!$A$1:$G$101,MATCH(HR_Data!$A3,Emp_Info!$B$1:$B$101,0),MATCH(HR_Data!AE$1,Emp_Info!$A$1:$G$1,0))</f>
        <v>North</v>
      </c>
      <c r="AF3" t="str">
        <f t="shared" si="5"/>
        <v>Eligible</v>
      </c>
    </row>
    <row r="4" spans="1:33" x14ac:dyDescent="0.35">
      <c r="A4" s="1" t="s">
        <v>251</v>
      </c>
      <c r="B4" s="5">
        <v>31462</v>
      </c>
      <c r="C4" s="1"/>
      <c r="D4" s="5">
        <v>42137</v>
      </c>
      <c r="E4" s="1" t="s">
        <v>42</v>
      </c>
      <c r="F4" s="1" t="s">
        <v>65</v>
      </c>
      <c r="G4" s="1" t="s">
        <v>252</v>
      </c>
      <c r="H4" s="1" t="s">
        <v>25</v>
      </c>
      <c r="I4" s="1" t="s">
        <v>67</v>
      </c>
      <c r="J4" s="6">
        <v>1380000</v>
      </c>
      <c r="K4" s="7">
        <v>158000</v>
      </c>
      <c r="L4" s="7">
        <f t="shared" si="0"/>
        <v>1538000</v>
      </c>
      <c r="M4" s="1">
        <v>18</v>
      </c>
      <c r="N4" s="8">
        <v>4.8</v>
      </c>
      <c r="O4" s="9">
        <v>99</v>
      </c>
      <c r="P4" s="1">
        <v>4</v>
      </c>
      <c r="Q4" s="1" t="s">
        <v>48</v>
      </c>
      <c r="R4" s="1" t="s">
        <v>31</v>
      </c>
      <c r="S4" s="5">
        <v>43971</v>
      </c>
      <c r="T4" s="1" t="s">
        <v>32</v>
      </c>
      <c r="U4" t="str">
        <f>VLOOKUP(A4,Emp_Info!$B$1:$G$101,3,0)</f>
        <v>rohit</v>
      </c>
      <c r="V4" t="str">
        <f>_xlfn.XLOOKUP(A4,Emp_Info!$B$2:$B$101,Emp_Info!$A$2:$A$101,,0)</f>
        <v>agarwal</v>
      </c>
      <c r="W4" s="3" t="str">
        <f t="shared" si="1"/>
        <v>Rohit Agarwal</v>
      </c>
      <c r="X4" t="str">
        <f t="shared" si="2"/>
        <v>RA097</v>
      </c>
      <c r="Y4" t="str">
        <f>HLOOKUP(F4,Dept_Info!$A$2:$I$3,2,0)</f>
        <v>Sales</v>
      </c>
      <c r="Z4">
        <f t="shared" si="3"/>
        <v>1768700</v>
      </c>
      <c r="AA4" t="str">
        <f t="shared" si="4"/>
        <v>High</v>
      </c>
      <c r="AB4" t="s">
        <v>263</v>
      </c>
      <c r="AC4" t="str">
        <f>INDEX(Emp_Info!$B$1:$G$101,MATCH(HR_Data!$A86,Emp_Info!$B$2:$B$101,0),MATCH(HR_Data!AC$1,Emp_Info!$B$1:$G$1,0))</f>
        <v>Master</v>
      </c>
      <c r="AD4" t="str">
        <f>INDEX(Emp_Info!$A$1:$G$101,MATCH(HR_Data!$A4,Emp_Info!$B$1:$B$101,0),MATCH(HR_Data!AD$1,Emp_Info!$A$1:$G$1,0))</f>
        <v>Bangalore</v>
      </c>
      <c r="AE4" t="str">
        <f>INDEX(Emp_Info!$A$1:$G$101,MATCH(HR_Data!$A4,Emp_Info!$B$1:$B$101,0),MATCH(HR_Data!AE$1,Emp_Info!$A$1:$G$1,0))</f>
        <v>South</v>
      </c>
      <c r="AF4" t="str">
        <f t="shared" si="5"/>
        <v>Eligible</v>
      </c>
    </row>
    <row r="5" spans="1:33" x14ac:dyDescent="0.35">
      <c r="A5" s="1" t="s">
        <v>56</v>
      </c>
      <c r="B5" s="5">
        <v>32129</v>
      </c>
      <c r="C5" s="1">
        <v>37</v>
      </c>
      <c r="D5" s="5">
        <v>42559</v>
      </c>
      <c r="E5" s="1" t="s">
        <v>57</v>
      </c>
      <c r="F5" s="1" t="s">
        <v>58</v>
      </c>
      <c r="G5" s="1" t="s">
        <v>59</v>
      </c>
      <c r="H5" s="1" t="s">
        <v>25</v>
      </c>
      <c r="I5" s="1" t="s">
        <v>61</v>
      </c>
      <c r="J5" s="6">
        <v>1100000</v>
      </c>
      <c r="K5" s="7">
        <v>120000</v>
      </c>
      <c r="L5" s="7">
        <f t="shared" si="0"/>
        <v>1220000</v>
      </c>
      <c r="M5" s="1">
        <v>15</v>
      </c>
      <c r="N5" s="8">
        <v>4.7</v>
      </c>
      <c r="O5" s="9">
        <v>99</v>
      </c>
      <c r="P5" s="1">
        <v>4</v>
      </c>
      <c r="Q5" s="1" t="s">
        <v>48</v>
      </c>
      <c r="R5" s="1" t="s">
        <v>31</v>
      </c>
      <c r="S5" s="5">
        <v>44397</v>
      </c>
      <c r="T5" s="1" t="s">
        <v>32</v>
      </c>
      <c r="U5" t="str">
        <f>VLOOKUP(A5,Emp_Info!$B$1:$G$101,3,0)</f>
        <v>vikram</v>
      </c>
      <c r="V5" t="str">
        <f>_xlfn.XLOOKUP(A5,Emp_Info!$B$2:$B$101,Emp_Info!$A$2:$A$101,,0)</f>
        <v>singh</v>
      </c>
      <c r="W5" s="3" t="str">
        <f t="shared" si="1"/>
        <v>Vikram Singh</v>
      </c>
      <c r="X5" t="str">
        <f t="shared" si="2"/>
        <v>VS005</v>
      </c>
      <c r="Y5" t="str">
        <f>HLOOKUP(F5,Dept_Info!$A$2:$I$3,2,0)</f>
        <v>Marketing</v>
      </c>
      <c r="Z5">
        <f t="shared" si="3"/>
        <v>1220000</v>
      </c>
      <c r="AA5" t="str">
        <f t="shared" si="4"/>
        <v>High</v>
      </c>
      <c r="AB5" t="s">
        <v>263</v>
      </c>
      <c r="AC5" t="str">
        <f>INDEX(Emp_Info!$B$1:$G$101,MATCH(HR_Data!$A73,Emp_Info!$B$2:$B$101,0),MATCH(HR_Data!AC$1,Emp_Info!$B$1:$G$1,0))</f>
        <v>Bachelor</v>
      </c>
      <c r="AD5" t="str">
        <f>INDEX(Emp_Info!$A$1:$G$101,MATCH(HR_Data!$A5,Emp_Info!$B$1:$B$101,0),MATCH(HR_Data!AD$1,Emp_Info!$A$1:$G$1,0))</f>
        <v>Pune</v>
      </c>
      <c r="AE5" t="str">
        <f>INDEX(Emp_Info!$A$1:$G$101,MATCH(HR_Data!$A5,Emp_Info!$B$1:$B$101,0),MATCH(HR_Data!AE$1,Emp_Info!$A$1:$G$1,0))</f>
        <v>West</v>
      </c>
      <c r="AF5" t="str">
        <f t="shared" si="5"/>
        <v>Eligible</v>
      </c>
      <c r="AG5" t="s">
        <v>11</v>
      </c>
    </row>
    <row r="6" spans="1:33" x14ac:dyDescent="0.35">
      <c r="A6" s="1" t="s">
        <v>151</v>
      </c>
      <c r="B6" s="5">
        <v>31355</v>
      </c>
      <c r="C6" s="1">
        <v>39</v>
      </c>
      <c r="D6" s="5">
        <v>42115</v>
      </c>
      <c r="E6" s="1" t="s">
        <v>34</v>
      </c>
      <c r="F6" s="1" t="s">
        <v>58</v>
      </c>
      <c r="G6" s="1" t="s">
        <v>152</v>
      </c>
      <c r="H6" s="1" t="s">
        <v>25</v>
      </c>
      <c r="I6" s="1" t="s">
        <v>61</v>
      </c>
      <c r="J6" s="6">
        <v>1080000</v>
      </c>
      <c r="K6" s="7">
        <v>115000</v>
      </c>
      <c r="L6" s="7">
        <f t="shared" si="0"/>
        <v>1195000</v>
      </c>
      <c r="M6" s="1">
        <v>18</v>
      </c>
      <c r="N6" s="8">
        <v>4.5999999999999996</v>
      </c>
      <c r="O6" s="9">
        <v>98.6</v>
      </c>
      <c r="P6" s="1">
        <v>4</v>
      </c>
      <c r="Q6" s="1" t="s">
        <v>48</v>
      </c>
      <c r="R6" s="1" t="s">
        <v>31</v>
      </c>
      <c r="S6" s="5">
        <v>43931</v>
      </c>
      <c r="T6" s="1" t="s">
        <v>32</v>
      </c>
      <c r="U6" t="str">
        <f>VLOOKUP(A6,Emp_Info!$B$1:$G$101,3,0)</f>
        <v>rajeev</v>
      </c>
      <c r="V6" t="str">
        <f>_xlfn.XLOOKUP(A6,Emp_Info!$B$2:$B$101,Emp_Info!$A$2:$A$101,,0)</f>
        <v>bose</v>
      </c>
      <c r="W6" s="3" t="str">
        <f t="shared" si="1"/>
        <v>Rajeev Bose</v>
      </c>
      <c r="X6" t="str">
        <f t="shared" si="2"/>
        <v>RB047</v>
      </c>
      <c r="Y6" t="str">
        <f>HLOOKUP(F6,Dept_Info!$A$2:$I$3,2,0)</f>
        <v>Marketing</v>
      </c>
      <c r="Z6">
        <f t="shared" si="3"/>
        <v>1195000</v>
      </c>
      <c r="AA6" t="str">
        <f t="shared" si="4"/>
        <v>High</v>
      </c>
      <c r="AB6" t="s">
        <v>263</v>
      </c>
      <c r="AC6" t="str">
        <f>INDEX(Emp_Info!$B$1:$G$101,MATCH(HR_Data!$A70,Emp_Info!$B$2:$B$101,0),MATCH(HR_Data!AC$1,Emp_Info!$B$1:$G$1,0))</f>
        <v>Bachelor</v>
      </c>
      <c r="AD6" t="str">
        <f>INDEX(Emp_Info!$A$1:$G$101,MATCH(HR_Data!$A6,Emp_Info!$B$1:$B$101,0),MATCH(HR_Data!AD$1,Emp_Info!$A$1:$G$1,0))</f>
        <v>Pune</v>
      </c>
      <c r="AE6" t="str">
        <f>INDEX(Emp_Info!$A$1:$G$101,MATCH(HR_Data!$A6,Emp_Info!$B$1:$B$101,0),MATCH(HR_Data!AE$1,Emp_Info!$A$1:$G$1,0))</f>
        <v>West</v>
      </c>
      <c r="AF6" t="str">
        <f t="shared" si="5"/>
        <v>Eligible</v>
      </c>
      <c r="AG6" s="15">
        <v>0.15</v>
      </c>
    </row>
    <row r="7" spans="1:33" x14ac:dyDescent="0.35">
      <c r="A7" s="1" t="s">
        <v>139</v>
      </c>
      <c r="B7" s="5">
        <v>33015</v>
      </c>
      <c r="C7" s="1">
        <v>34</v>
      </c>
      <c r="D7" s="5">
        <v>43419</v>
      </c>
      <c r="E7" s="1" t="s">
        <v>69</v>
      </c>
      <c r="F7" s="1" t="s">
        <v>23</v>
      </c>
      <c r="G7" s="1" t="s">
        <v>140</v>
      </c>
      <c r="H7" s="1" t="s">
        <v>25</v>
      </c>
      <c r="I7" s="1" t="s">
        <v>28</v>
      </c>
      <c r="J7" s="6">
        <v>1050000</v>
      </c>
      <c r="K7" s="7">
        <v>110000</v>
      </c>
      <c r="L7" s="7">
        <f t="shared" si="0"/>
        <v>1160000</v>
      </c>
      <c r="M7" s="1">
        <v>11</v>
      </c>
      <c r="N7" s="8">
        <v>4.7</v>
      </c>
      <c r="O7" s="9">
        <v>98.9</v>
      </c>
      <c r="P7" s="1">
        <v>5</v>
      </c>
      <c r="Q7" s="1" t="s">
        <v>30</v>
      </c>
      <c r="R7" s="1" t="s">
        <v>31</v>
      </c>
      <c r="S7" s="5">
        <v>44885</v>
      </c>
      <c r="T7" s="1" t="s">
        <v>32</v>
      </c>
      <c r="U7" t="str">
        <f>VLOOKUP(A7,Emp_Info!$B$1:$G$101,3,0)</f>
        <v>varun</v>
      </c>
      <c r="V7" t="str">
        <f>_xlfn.XLOOKUP(A7,Emp_Info!$B$2:$B$101,Emp_Info!$A$2:$A$101,,0)</f>
        <v>kapoor</v>
      </c>
      <c r="W7" s="3" t="str">
        <f t="shared" si="1"/>
        <v>Varun Kapoor</v>
      </c>
      <c r="X7" t="str">
        <f t="shared" si="2"/>
        <v>VK041</v>
      </c>
      <c r="Y7" t="str">
        <f>HLOOKUP(F7,Dept_Info!$A$2:$I$3,2,0)</f>
        <v>IT</v>
      </c>
      <c r="Z7">
        <f t="shared" si="3"/>
        <v>1160000</v>
      </c>
      <c r="AA7" t="str">
        <f t="shared" si="4"/>
        <v>High</v>
      </c>
      <c r="AB7" t="s">
        <v>263</v>
      </c>
      <c r="AC7" t="str">
        <f>INDEX(Emp_Info!$B$1:$G$101,MATCH(HR_Data!$A55,Emp_Info!$B$2:$B$101,0),MATCH(HR_Data!AC$1,Emp_Info!$B$1:$G$1,0))</f>
        <v>Bachelor</v>
      </c>
      <c r="AD7" t="str">
        <f>INDEX(Emp_Info!$A$1:$G$101,MATCH(HR_Data!$A7,Emp_Info!$B$1:$B$101,0),MATCH(HR_Data!AD$1,Emp_Info!$A$1:$G$1,0))</f>
        <v>Noida</v>
      </c>
      <c r="AE7" t="str">
        <f>INDEX(Emp_Info!$A$1:$G$101,MATCH(HR_Data!$A7,Emp_Info!$B$1:$B$101,0),MATCH(HR_Data!AE$1,Emp_Info!$A$1:$G$1,0))</f>
        <v>North</v>
      </c>
      <c r="AF7" t="str">
        <f t="shared" si="5"/>
        <v>Eligible</v>
      </c>
    </row>
    <row r="8" spans="1:33" x14ac:dyDescent="0.35">
      <c r="A8" s="1" t="s">
        <v>73</v>
      </c>
      <c r="B8" s="5">
        <v>31654</v>
      </c>
      <c r="C8" s="1">
        <v>38</v>
      </c>
      <c r="D8" s="5">
        <v>42040</v>
      </c>
      <c r="E8" s="1" t="s">
        <v>42</v>
      </c>
      <c r="F8" s="1" t="s">
        <v>43</v>
      </c>
      <c r="G8" s="1" t="s">
        <v>74</v>
      </c>
      <c r="H8" s="1" t="s">
        <v>25</v>
      </c>
      <c r="I8" s="1" t="s">
        <v>47</v>
      </c>
      <c r="J8" s="6">
        <v>1050000</v>
      </c>
      <c r="K8" s="7">
        <v>105000</v>
      </c>
      <c r="L8" s="7">
        <f t="shared" si="0"/>
        <v>1155000</v>
      </c>
      <c r="M8" s="1">
        <v>16</v>
      </c>
      <c r="N8" s="8">
        <v>4.5999999999999996</v>
      </c>
      <c r="O8" s="9">
        <v>98.5</v>
      </c>
      <c r="P8" s="1">
        <v>3</v>
      </c>
      <c r="Q8" s="1" t="s">
        <v>48</v>
      </c>
      <c r="R8" s="1" t="s">
        <v>31</v>
      </c>
      <c r="S8" s="5">
        <v>43871</v>
      </c>
      <c r="T8" s="1" t="s">
        <v>32</v>
      </c>
      <c r="U8" t="str">
        <f>VLOOKUP(A8,Emp_Info!$B$1:$G$101,3,0)</f>
        <v>suresh</v>
      </c>
      <c r="V8" t="str">
        <f>_xlfn.XLOOKUP(A8,Emp_Info!$B$2:$B$101,Emp_Info!$A$2:$A$101,,0)</f>
        <v>nair</v>
      </c>
      <c r="W8" s="3" t="str">
        <f t="shared" si="1"/>
        <v>Suresh Nair</v>
      </c>
      <c r="X8" t="str">
        <f t="shared" si="2"/>
        <v>SN009</v>
      </c>
      <c r="Y8" t="str">
        <f>HLOOKUP(F8,Dept_Info!$A$2:$I$3,2,0)</f>
        <v>Finance</v>
      </c>
      <c r="Z8">
        <f t="shared" si="3"/>
        <v>1155000</v>
      </c>
      <c r="AA8" t="str">
        <f t="shared" si="4"/>
        <v>High</v>
      </c>
      <c r="AB8" t="s">
        <v>263</v>
      </c>
      <c r="AC8" t="str">
        <f>INDEX(Emp_Info!$B$1:$G$101,MATCH(HR_Data!$A20,Emp_Info!$B$2:$B$101,0),MATCH(HR_Data!AC$1,Emp_Info!$B$1:$G$1,0))</f>
        <v>Master</v>
      </c>
      <c r="AD8" t="str">
        <f>INDEX(Emp_Info!$A$1:$G$101,MATCH(HR_Data!$A8,Emp_Info!$B$1:$B$101,0),MATCH(HR_Data!AD$1,Emp_Info!$A$1:$G$1,0))</f>
        <v>Chennai</v>
      </c>
      <c r="AE8" t="str">
        <f>INDEX(Emp_Info!$A$1:$G$101,MATCH(HR_Data!$A8,Emp_Info!$B$1:$B$101,0),MATCH(HR_Data!AE$1,Emp_Info!$A$1:$G$1,0))</f>
        <v>South</v>
      </c>
      <c r="AF8" t="str">
        <f t="shared" si="5"/>
        <v>Eligible</v>
      </c>
    </row>
    <row r="9" spans="1:33" x14ac:dyDescent="0.35">
      <c r="A9" s="1" t="s">
        <v>215</v>
      </c>
      <c r="B9" s="5">
        <v>32516</v>
      </c>
      <c r="C9" s="1">
        <v>35</v>
      </c>
      <c r="D9" s="5">
        <v>43329</v>
      </c>
      <c r="E9" s="1" t="s">
        <v>22</v>
      </c>
      <c r="F9" s="1" t="s">
        <v>65</v>
      </c>
      <c r="G9" s="1" t="s">
        <v>216</v>
      </c>
      <c r="H9" s="1" t="s">
        <v>25</v>
      </c>
      <c r="I9" s="1" t="s">
        <v>67</v>
      </c>
      <c r="J9" s="6">
        <v>1020000</v>
      </c>
      <c r="K9" s="7">
        <v>125000</v>
      </c>
      <c r="L9" s="7">
        <f t="shared" si="0"/>
        <v>1145000</v>
      </c>
      <c r="M9" s="1">
        <v>12</v>
      </c>
      <c r="N9" s="8">
        <v>4.7</v>
      </c>
      <c r="O9" s="9">
        <v>98.6</v>
      </c>
      <c r="P9" s="1">
        <v>3</v>
      </c>
      <c r="Q9" s="1" t="s">
        <v>30</v>
      </c>
      <c r="R9" s="1" t="s">
        <v>31</v>
      </c>
      <c r="S9" s="5">
        <v>45163</v>
      </c>
      <c r="T9" s="1" t="s">
        <v>32</v>
      </c>
      <c r="U9" t="str">
        <f>VLOOKUP(A9,Emp_Info!$B$1:$G$101,3,0)</f>
        <v>nikhil</v>
      </c>
      <c r="V9" t="str">
        <f>_xlfn.XLOOKUP(A9,Emp_Info!$B$2:$B$101,Emp_Info!$A$2:$A$101,,0)</f>
        <v>chopra</v>
      </c>
      <c r="W9" s="3" t="str">
        <f t="shared" si="1"/>
        <v>Nikhil Chopra</v>
      </c>
      <c r="X9" t="str">
        <f t="shared" si="2"/>
        <v>NC079</v>
      </c>
      <c r="Y9" t="str">
        <f>HLOOKUP(F9,Dept_Info!$A$2:$I$3,2,0)</f>
        <v>Sales</v>
      </c>
      <c r="Z9">
        <f t="shared" si="3"/>
        <v>1316750</v>
      </c>
      <c r="AA9" t="str">
        <f t="shared" si="4"/>
        <v>High</v>
      </c>
      <c r="AB9" t="s">
        <v>263</v>
      </c>
      <c r="AC9" t="str">
        <f>INDEX(Emp_Info!$B$1:$G$101,MATCH(HR_Data!$A92,Emp_Info!$B$2:$B$101,0),MATCH(HR_Data!AC$1,Emp_Info!$B$1:$G$1,0))</f>
        <v>Master</v>
      </c>
      <c r="AD9" t="str">
        <f>INDEX(Emp_Info!$A$1:$G$101,MATCH(HR_Data!$A9,Emp_Info!$B$1:$B$101,0),MATCH(HR_Data!AD$1,Emp_Info!$A$1:$G$1,0))</f>
        <v>Hyderabad</v>
      </c>
      <c r="AE9" t="str">
        <f>INDEX(Emp_Info!$A$1:$G$101,MATCH(HR_Data!$A9,Emp_Info!$B$1:$B$101,0),MATCH(HR_Data!AE$1,Emp_Info!$A$1:$G$1,0))</f>
        <v>South</v>
      </c>
      <c r="AF9" t="str">
        <f t="shared" si="5"/>
        <v>Eligible</v>
      </c>
    </row>
    <row r="10" spans="1:33" x14ac:dyDescent="0.35">
      <c r="A10" s="1" t="s">
        <v>159</v>
      </c>
      <c r="B10" s="5">
        <v>31537</v>
      </c>
      <c r="C10" s="1">
        <v>38</v>
      </c>
      <c r="D10" s="5">
        <v>42383</v>
      </c>
      <c r="E10" s="1" t="s">
        <v>69</v>
      </c>
      <c r="F10" s="1" t="s">
        <v>43</v>
      </c>
      <c r="G10" s="1" t="s">
        <v>160</v>
      </c>
      <c r="H10" s="1" t="s">
        <v>25</v>
      </c>
      <c r="I10" s="1" t="s">
        <v>47</v>
      </c>
      <c r="J10" s="6">
        <v>980000</v>
      </c>
      <c r="K10" s="7">
        <v>98000</v>
      </c>
      <c r="L10" s="7">
        <f t="shared" si="0"/>
        <v>1078000</v>
      </c>
      <c r="M10" s="1">
        <v>16</v>
      </c>
      <c r="N10" s="8">
        <v>4.5</v>
      </c>
      <c r="O10" s="9">
        <v>98.2</v>
      </c>
      <c r="P10" s="1">
        <v>3</v>
      </c>
      <c r="Q10" s="1" t="s">
        <v>48</v>
      </c>
      <c r="R10" s="1" t="s">
        <v>31</v>
      </c>
      <c r="S10" s="5">
        <v>44216</v>
      </c>
      <c r="T10" s="1" t="s">
        <v>32</v>
      </c>
      <c r="U10" t="str">
        <f>VLOOKUP(A10,Emp_Info!$B$1:$G$101,3,0)</f>
        <v>ramesh</v>
      </c>
      <c r="V10" t="str">
        <f>_xlfn.XLOOKUP(A10,Emp_Info!$B$2:$B$101,Emp_Info!$A$2:$A$101,,0)</f>
        <v>pillai</v>
      </c>
      <c r="W10" s="3" t="str">
        <f t="shared" si="1"/>
        <v>Ramesh Pillai</v>
      </c>
      <c r="X10" t="str">
        <f t="shared" si="2"/>
        <v>RP051</v>
      </c>
      <c r="Y10" t="str">
        <f>HLOOKUP(F10,Dept_Info!$A$2:$I$3,2,0)</f>
        <v>Finance</v>
      </c>
      <c r="Z10">
        <f t="shared" si="3"/>
        <v>1078000</v>
      </c>
      <c r="AA10" t="str">
        <f t="shared" si="4"/>
        <v>High</v>
      </c>
      <c r="AB10" t="s">
        <v>263</v>
      </c>
      <c r="AC10" t="str">
        <f>INDEX(Emp_Info!$B$1:$G$101,MATCH(HR_Data!$A21,Emp_Info!$B$2:$B$101,0),MATCH(HR_Data!AC$1,Emp_Info!$B$1:$G$1,0))</f>
        <v>Master</v>
      </c>
      <c r="AD10" t="str">
        <f>INDEX(Emp_Info!$A$1:$G$101,MATCH(HR_Data!$A10,Emp_Info!$B$1:$B$101,0),MATCH(HR_Data!AD$1,Emp_Info!$A$1:$G$1,0))</f>
        <v>Chennai</v>
      </c>
      <c r="AE10" t="str">
        <f>INDEX(Emp_Info!$A$1:$G$101,MATCH(HR_Data!$A10,Emp_Info!$B$1:$B$101,0),MATCH(HR_Data!AE$1,Emp_Info!$A$1:$G$1,0))</f>
        <v>South</v>
      </c>
      <c r="AF10" t="str">
        <f t="shared" si="5"/>
        <v>Eligible</v>
      </c>
    </row>
    <row r="11" spans="1:33" x14ac:dyDescent="0.35">
      <c r="A11" s="1" t="s">
        <v>211</v>
      </c>
      <c r="B11" s="5">
        <v>32276</v>
      </c>
      <c r="C11" s="1">
        <v>36</v>
      </c>
      <c r="D11" s="5">
        <v>43053</v>
      </c>
      <c r="E11" s="1" t="s">
        <v>34</v>
      </c>
      <c r="F11" s="1" t="s">
        <v>23</v>
      </c>
      <c r="G11" s="1" t="s">
        <v>212</v>
      </c>
      <c r="H11" s="1" t="s">
        <v>25</v>
      </c>
      <c r="I11" s="1" t="s">
        <v>28</v>
      </c>
      <c r="J11" s="6">
        <v>980000</v>
      </c>
      <c r="K11" s="7">
        <v>98000</v>
      </c>
      <c r="L11" s="7">
        <f t="shared" si="0"/>
        <v>1078000</v>
      </c>
      <c r="M11" s="1">
        <v>13</v>
      </c>
      <c r="N11" s="8">
        <v>4.5999999999999996</v>
      </c>
      <c r="O11" s="9">
        <v>98.4</v>
      </c>
      <c r="P11" s="1">
        <v>4</v>
      </c>
      <c r="Q11" s="1" t="s">
        <v>30</v>
      </c>
      <c r="R11" s="1" t="s">
        <v>31</v>
      </c>
      <c r="S11" s="5">
        <v>44885</v>
      </c>
      <c r="T11" s="1" t="s">
        <v>32</v>
      </c>
      <c r="U11" t="str">
        <f>VLOOKUP(A11,Emp_Info!$B$1:$G$101,3,0)</f>
        <v>rajat</v>
      </c>
      <c r="V11" t="str">
        <f>_xlfn.XLOOKUP(A11,Emp_Info!$B$2:$B$101,Emp_Info!$A$2:$A$101,,0)</f>
        <v>verma</v>
      </c>
      <c r="W11" s="3" t="str">
        <f t="shared" si="1"/>
        <v>Rajat Verma</v>
      </c>
      <c r="X11" t="str">
        <f t="shared" si="2"/>
        <v>RV077</v>
      </c>
      <c r="Y11" t="str">
        <f>HLOOKUP(F11,Dept_Info!$A$2:$I$3,2,0)</f>
        <v>IT</v>
      </c>
      <c r="Z11">
        <f t="shared" si="3"/>
        <v>1078000</v>
      </c>
      <c r="AA11" t="str">
        <f t="shared" si="4"/>
        <v>High</v>
      </c>
      <c r="AB11" t="s">
        <v>263</v>
      </c>
      <c r="AC11" t="str">
        <f>INDEX(Emp_Info!$B$1:$G$101,MATCH(HR_Data!$A53,Emp_Info!$B$2:$B$101,0),MATCH(HR_Data!AC$1,Emp_Info!$B$1:$G$1,0))</f>
        <v>Master</v>
      </c>
      <c r="AD11" t="str">
        <f>INDEX(Emp_Info!$A$1:$G$101,MATCH(HR_Data!$A11,Emp_Info!$B$1:$B$101,0),MATCH(HR_Data!AD$1,Emp_Info!$A$1:$G$1,0))</f>
        <v>Delhi</v>
      </c>
      <c r="AE11" t="str">
        <f>INDEX(Emp_Info!$A$1:$G$101,MATCH(HR_Data!$A11,Emp_Info!$B$1:$B$101,0),MATCH(HR_Data!AE$1,Emp_Info!$A$1:$G$1,0))</f>
        <v>North</v>
      </c>
      <c r="AF11" t="str">
        <f t="shared" si="5"/>
        <v>Eligible</v>
      </c>
    </row>
    <row r="12" spans="1:33" x14ac:dyDescent="0.35">
      <c r="A12" s="1" t="s">
        <v>107</v>
      </c>
      <c r="B12" s="5">
        <v>33206</v>
      </c>
      <c r="C12" s="1">
        <v>34</v>
      </c>
      <c r="D12" s="5">
        <v>43544</v>
      </c>
      <c r="E12" s="1" t="s">
        <v>22</v>
      </c>
      <c r="F12" s="1" t="s">
        <v>65</v>
      </c>
      <c r="G12" s="1" t="s">
        <v>108</v>
      </c>
      <c r="H12" s="1" t="s">
        <v>25</v>
      </c>
      <c r="I12" s="1" t="s">
        <v>67</v>
      </c>
      <c r="J12" s="6">
        <v>950000</v>
      </c>
      <c r="K12" s="7">
        <v>115000</v>
      </c>
      <c r="L12" s="7">
        <f t="shared" si="0"/>
        <v>1065000</v>
      </c>
      <c r="M12" s="1">
        <v>10</v>
      </c>
      <c r="N12" s="8">
        <v>4.5</v>
      </c>
      <c r="O12" s="9">
        <v>97.8</v>
      </c>
      <c r="P12" s="1">
        <v>2</v>
      </c>
      <c r="Q12" s="1" t="s">
        <v>30</v>
      </c>
      <c r="R12" s="1" t="s">
        <v>31</v>
      </c>
      <c r="S12" s="5">
        <v>44995</v>
      </c>
      <c r="T12" s="1" t="s">
        <v>32</v>
      </c>
      <c r="U12" t="str">
        <f>VLOOKUP(A12,Emp_Info!$B$1:$G$101,3,0)</f>
        <v>gaurav</v>
      </c>
      <c r="V12" t="str">
        <f>_xlfn.XLOOKUP(A12,Emp_Info!$B$2:$B$101,Emp_Info!$A$2:$A$101,,0)</f>
        <v>pandey</v>
      </c>
      <c r="W12" s="3" t="str">
        <f t="shared" si="1"/>
        <v>Gaurav Pandey</v>
      </c>
      <c r="X12" t="str">
        <f t="shared" si="2"/>
        <v>GP025</v>
      </c>
      <c r="Y12" t="str">
        <f>HLOOKUP(F12,Dept_Info!$A$2:$I$3,2,0)</f>
        <v>Sales</v>
      </c>
      <c r="Z12">
        <f t="shared" si="3"/>
        <v>1224750</v>
      </c>
      <c r="AA12" t="str">
        <f t="shared" si="4"/>
        <v>High</v>
      </c>
      <c r="AB12" t="s">
        <v>263</v>
      </c>
      <c r="AC12" t="str">
        <f>INDEX(Emp_Info!$B$1:$G$101,MATCH(HR_Data!$A95,Emp_Info!$B$2:$B$101,0),MATCH(HR_Data!AC$1,Emp_Info!$B$1:$G$1,0))</f>
        <v>Master</v>
      </c>
      <c r="AD12" t="str">
        <f>INDEX(Emp_Info!$A$1:$G$101,MATCH(HR_Data!$A12,Emp_Info!$B$1:$B$101,0),MATCH(HR_Data!AD$1,Emp_Info!$A$1:$G$1,0))</f>
        <v>Hyderabad</v>
      </c>
      <c r="AE12" t="str">
        <f>INDEX(Emp_Info!$A$1:$G$101,MATCH(HR_Data!$A12,Emp_Info!$B$1:$B$101,0),MATCH(HR_Data!AE$1,Emp_Info!$A$1:$G$1,0))</f>
        <v>South</v>
      </c>
      <c r="AF12" t="str">
        <f t="shared" si="5"/>
        <v>Not Eligible</v>
      </c>
    </row>
    <row r="13" spans="1:33" x14ac:dyDescent="0.35">
      <c r="A13" s="1" t="s">
        <v>179</v>
      </c>
      <c r="B13" s="5">
        <v>32504</v>
      </c>
      <c r="C13" s="1">
        <v>36</v>
      </c>
      <c r="D13" s="5">
        <v>42954</v>
      </c>
      <c r="E13" s="1" t="s">
        <v>42</v>
      </c>
      <c r="F13" s="1" t="s">
        <v>65</v>
      </c>
      <c r="G13" s="1" t="s">
        <v>180</v>
      </c>
      <c r="H13" s="1" t="s">
        <v>25</v>
      </c>
      <c r="I13" s="1" t="s">
        <v>67</v>
      </c>
      <c r="J13" s="6">
        <v>940000</v>
      </c>
      <c r="K13" s="7">
        <v>112000</v>
      </c>
      <c r="L13" s="7">
        <f t="shared" si="0"/>
        <v>1052000</v>
      </c>
      <c r="M13" s="1">
        <v>13</v>
      </c>
      <c r="N13" s="8">
        <v>4.5</v>
      </c>
      <c r="O13" s="9">
        <v>98.1</v>
      </c>
      <c r="P13" s="1">
        <v>3</v>
      </c>
      <c r="Q13" s="1" t="s">
        <v>30</v>
      </c>
      <c r="R13" s="1" t="s">
        <v>31</v>
      </c>
      <c r="S13" s="5">
        <v>44788</v>
      </c>
      <c r="T13" s="1" t="s">
        <v>32</v>
      </c>
      <c r="U13" t="str">
        <f>VLOOKUP(A13,Emp_Info!$B$1:$G$101,3,0)</f>
        <v>siddharth</v>
      </c>
      <c r="V13" t="str">
        <f>_xlfn.XLOOKUP(A13,Emp_Info!$B$2:$B$101,Emp_Info!$A$2:$A$101,,0)</f>
        <v>mehta</v>
      </c>
      <c r="W13" s="3" t="str">
        <f t="shared" si="1"/>
        <v>Siddharth Mehta</v>
      </c>
      <c r="X13" t="str">
        <f t="shared" si="2"/>
        <v>SM061</v>
      </c>
      <c r="Y13" t="str">
        <f>HLOOKUP(F13,Dept_Info!$A$2:$I$3,2,0)</f>
        <v>Sales</v>
      </c>
      <c r="Z13">
        <f t="shared" si="3"/>
        <v>1209800</v>
      </c>
      <c r="AA13" t="str">
        <f t="shared" si="4"/>
        <v>High</v>
      </c>
      <c r="AB13" t="s">
        <v>263</v>
      </c>
      <c r="AC13" t="str">
        <f>INDEX(Emp_Info!$B$1:$G$101,MATCH(HR_Data!$A91,Emp_Info!$B$2:$B$101,0),MATCH(HR_Data!AC$1,Emp_Info!$B$1:$G$1,0))</f>
        <v>Bachelor</v>
      </c>
      <c r="AD13" t="str">
        <f>INDEX(Emp_Info!$A$1:$G$101,MATCH(HR_Data!$A13,Emp_Info!$B$1:$B$101,0),MATCH(HR_Data!AD$1,Emp_Info!$A$1:$G$1,0))</f>
        <v>Delhi</v>
      </c>
      <c r="AE13" t="str">
        <f>INDEX(Emp_Info!$A$1:$G$101,MATCH(HR_Data!$A13,Emp_Info!$B$1:$B$101,0),MATCH(HR_Data!AE$1,Emp_Info!$A$1:$G$1,0))</f>
        <v>North</v>
      </c>
      <c r="AF13" t="str">
        <f t="shared" si="5"/>
        <v>Eligible</v>
      </c>
    </row>
    <row r="14" spans="1:33" x14ac:dyDescent="0.35">
      <c r="A14" s="1" t="s">
        <v>33</v>
      </c>
      <c r="B14" s="5">
        <v>33076</v>
      </c>
      <c r="C14" s="1">
        <v>34</v>
      </c>
      <c r="D14" s="5">
        <v>43631</v>
      </c>
      <c r="E14" s="1" t="s">
        <v>34</v>
      </c>
      <c r="F14" s="1" t="s">
        <v>35</v>
      </c>
      <c r="G14" s="1" t="s">
        <v>36</v>
      </c>
      <c r="H14" s="1" t="s">
        <v>25</v>
      </c>
      <c r="I14" s="1" t="s">
        <v>39</v>
      </c>
      <c r="J14" s="6">
        <v>950000</v>
      </c>
      <c r="K14" s="7">
        <v>95000</v>
      </c>
      <c r="L14" s="7">
        <f t="shared" si="0"/>
        <v>1045000</v>
      </c>
      <c r="M14" s="1">
        <v>10</v>
      </c>
      <c r="N14" s="8">
        <v>4.3</v>
      </c>
      <c r="O14" s="9">
        <v>98.2</v>
      </c>
      <c r="P14" s="1">
        <v>2</v>
      </c>
      <c r="Q14" s="1" t="s">
        <v>30</v>
      </c>
      <c r="R14" s="1" t="s">
        <v>31</v>
      </c>
      <c r="S14" s="5">
        <v>45087</v>
      </c>
      <c r="T14" s="1" t="s">
        <v>32</v>
      </c>
      <c r="U14" t="str">
        <f>VLOOKUP(A14,Emp_Info!$B$1:$G$101,3,0)</f>
        <v>priya</v>
      </c>
      <c r="V14" t="str">
        <f>_xlfn.XLOOKUP(A14,Emp_Info!$B$2:$B$101,Emp_Info!$A$2:$A$101,,0)</f>
        <v>sharma</v>
      </c>
      <c r="W14" s="3" t="str">
        <f t="shared" si="1"/>
        <v>Priya Sharma</v>
      </c>
      <c r="X14" t="str">
        <f t="shared" si="2"/>
        <v>PS002</v>
      </c>
      <c r="Y14" t="str">
        <f>HLOOKUP(F14,Dept_Info!$A$2:$I$3,2,0)</f>
        <v>HR</v>
      </c>
      <c r="Z14">
        <f t="shared" si="3"/>
        <v>1045000</v>
      </c>
      <c r="AA14" t="str">
        <f t="shared" si="4"/>
        <v>High</v>
      </c>
      <c r="AB14" t="s">
        <v>264</v>
      </c>
      <c r="AC14" t="str">
        <f>INDEX(Emp_Info!$B$1:$G$101,MATCH(HR_Data!$A35,Emp_Info!$B$2:$B$101,0),MATCH(HR_Data!AC$1,Emp_Info!$B$1:$G$1,0))</f>
        <v>Bachelor</v>
      </c>
      <c r="AD14" t="str">
        <f>INDEX(Emp_Info!$A$1:$G$101,MATCH(HR_Data!$A14,Emp_Info!$B$1:$B$101,0),MATCH(HR_Data!AD$1,Emp_Info!$A$1:$G$1,0))</f>
        <v>Delhi</v>
      </c>
      <c r="AE14" t="str">
        <f>INDEX(Emp_Info!$A$1:$G$101,MATCH(HR_Data!$A14,Emp_Info!$B$1:$B$101,0),MATCH(HR_Data!AE$1,Emp_Info!$A$1:$G$1,0))</f>
        <v>North</v>
      </c>
      <c r="AF14" t="str">
        <f t="shared" si="5"/>
        <v>Not Eligible</v>
      </c>
    </row>
    <row r="15" spans="1:33" x14ac:dyDescent="0.35">
      <c r="A15" s="1" t="s">
        <v>241</v>
      </c>
      <c r="B15" s="5">
        <v>34168</v>
      </c>
      <c r="C15" s="1">
        <v>31</v>
      </c>
      <c r="D15" s="5">
        <v>44462</v>
      </c>
      <c r="E15" s="1" t="s">
        <v>22</v>
      </c>
      <c r="F15" s="1" t="s">
        <v>23</v>
      </c>
      <c r="G15" s="1" t="s">
        <v>242</v>
      </c>
      <c r="H15" s="1" t="s">
        <v>25</v>
      </c>
      <c r="I15" s="1" t="s">
        <v>28</v>
      </c>
      <c r="J15" s="6">
        <v>950000</v>
      </c>
      <c r="K15" s="7">
        <v>95000</v>
      </c>
      <c r="L15" s="7">
        <f t="shared" si="0"/>
        <v>1045000</v>
      </c>
      <c r="M15" s="1">
        <v>6</v>
      </c>
      <c r="N15" s="8">
        <v>4.5999999999999996</v>
      </c>
      <c r="O15" s="9">
        <v>98.3</v>
      </c>
      <c r="P15" s="1">
        <v>4</v>
      </c>
      <c r="Q15" s="1" t="s">
        <v>30</v>
      </c>
      <c r="R15" s="1" t="s">
        <v>31</v>
      </c>
      <c r="S15" s="1" t="s">
        <v>50</v>
      </c>
      <c r="T15" s="1" t="s">
        <v>32</v>
      </c>
      <c r="U15" t="str">
        <f>VLOOKUP(A15,Emp_Info!$B$1:$G$101,3,0)</f>
        <v>kavita</v>
      </c>
      <c r="V15" t="str">
        <f>_xlfn.XLOOKUP(A15,Emp_Info!$B$2:$B$101,Emp_Info!$A$2:$A$101,,0)</f>
        <v>pillai</v>
      </c>
      <c r="W15" s="3" t="str">
        <f t="shared" si="1"/>
        <v>Kavita Pillai</v>
      </c>
      <c r="X15" t="str">
        <f t="shared" si="2"/>
        <v>KP092</v>
      </c>
      <c r="Y15" t="str">
        <f>HLOOKUP(F15,Dept_Info!$A$2:$I$3,2,0)</f>
        <v>IT</v>
      </c>
      <c r="Z15">
        <f t="shared" si="3"/>
        <v>1045000</v>
      </c>
      <c r="AA15" t="str">
        <f t="shared" si="4"/>
        <v>High</v>
      </c>
      <c r="AB15" t="s">
        <v>264</v>
      </c>
      <c r="AC15" t="str">
        <f>INDEX(Emp_Info!$B$1:$G$101,MATCH(HR_Data!$A61,Emp_Info!$B$2:$B$101,0),MATCH(HR_Data!AC$1,Emp_Info!$B$1:$G$1,0))</f>
        <v>Bachelor</v>
      </c>
      <c r="AD15" t="str">
        <f>INDEX(Emp_Info!$A$1:$G$101,MATCH(HR_Data!$A15,Emp_Info!$B$1:$B$101,0),MATCH(HR_Data!AD$1,Emp_Info!$A$1:$G$1,0))</f>
        <v>Bangalore</v>
      </c>
      <c r="AE15" t="str">
        <f>INDEX(Emp_Info!$A$1:$G$101,MATCH(HR_Data!$A15,Emp_Info!$B$1:$B$101,0),MATCH(HR_Data!AE$1,Emp_Info!$A$1:$G$1,0))</f>
        <v>South</v>
      </c>
      <c r="AF15" t="str">
        <f t="shared" si="5"/>
        <v>Not Eligible</v>
      </c>
    </row>
    <row r="16" spans="1:33" x14ac:dyDescent="0.35">
      <c r="A16" s="1" t="s">
        <v>129</v>
      </c>
      <c r="B16" s="5">
        <v>33490</v>
      </c>
      <c r="C16" s="1">
        <v>33</v>
      </c>
      <c r="D16" s="5">
        <v>43851</v>
      </c>
      <c r="E16" s="1" t="s">
        <v>42</v>
      </c>
      <c r="F16" s="1" t="s">
        <v>52</v>
      </c>
      <c r="G16" s="1" t="s">
        <v>130</v>
      </c>
      <c r="H16" s="1" t="s">
        <v>25</v>
      </c>
      <c r="I16" s="1" t="s">
        <v>55</v>
      </c>
      <c r="J16" s="6">
        <v>920000</v>
      </c>
      <c r="K16" s="7">
        <v>95000</v>
      </c>
      <c r="L16" s="7">
        <f t="shared" si="0"/>
        <v>1015000</v>
      </c>
      <c r="M16" s="1">
        <v>9</v>
      </c>
      <c r="N16" s="8">
        <v>4.5999999999999996</v>
      </c>
      <c r="O16" s="9">
        <v>98.7</v>
      </c>
      <c r="P16" s="1">
        <v>3</v>
      </c>
      <c r="Q16" s="1" t="s">
        <v>30</v>
      </c>
      <c r="R16" s="1" t="s">
        <v>31</v>
      </c>
      <c r="S16" s="1" t="s">
        <v>50</v>
      </c>
      <c r="T16" s="1" t="s">
        <v>32</v>
      </c>
      <c r="U16" t="str">
        <f>VLOOKUP(A16,Emp_Info!$B$1:$G$101,3,0)</f>
        <v>pallavi</v>
      </c>
      <c r="V16" t="str">
        <f>_xlfn.XLOOKUP(A16,Emp_Info!$B$2:$B$101,Emp_Info!$A$2:$A$101,,0)</f>
        <v>nambiar</v>
      </c>
      <c r="W16" s="3" t="str">
        <f t="shared" si="1"/>
        <v>Pallavi Nambiar</v>
      </c>
      <c r="X16" t="str">
        <f t="shared" si="2"/>
        <v>PN036</v>
      </c>
      <c r="Y16" t="str">
        <f>HLOOKUP(F16,Dept_Info!$A$2:$I$3,2,0)</f>
        <v>Admin</v>
      </c>
      <c r="Z16">
        <f t="shared" si="3"/>
        <v>1015000</v>
      </c>
      <c r="AA16" t="str">
        <f t="shared" si="4"/>
        <v>High</v>
      </c>
      <c r="AB16" t="s">
        <v>264</v>
      </c>
      <c r="AC16" t="str">
        <f>INDEX(Emp_Info!$B$1:$G$101,MATCH(HR_Data!$A3,Emp_Info!$B$2:$B$101,0),MATCH(HR_Data!AC$1,Emp_Info!$B$1:$G$1,0))</f>
        <v>Bachelor</v>
      </c>
      <c r="AD16" t="str">
        <f>INDEX(Emp_Info!$A$1:$G$101,MATCH(HR_Data!$A16,Emp_Info!$B$1:$B$101,0),MATCH(HR_Data!AD$1,Emp_Info!$A$1:$G$1,0))</f>
        <v>Pune</v>
      </c>
      <c r="AE16" t="str">
        <f>INDEX(Emp_Info!$A$1:$G$101,MATCH(HR_Data!$A16,Emp_Info!$B$1:$B$101,0),MATCH(HR_Data!AE$1,Emp_Info!$A$1:$G$1,0))</f>
        <v>West</v>
      </c>
      <c r="AF16" t="str">
        <f t="shared" si="5"/>
        <v>Eligible</v>
      </c>
    </row>
    <row r="17" spans="1:32" x14ac:dyDescent="0.35">
      <c r="A17" s="1" t="s">
        <v>78</v>
      </c>
      <c r="B17" s="5">
        <v>30684</v>
      </c>
      <c r="C17" s="1">
        <v>40</v>
      </c>
      <c r="D17" s="5">
        <v>41988</v>
      </c>
      <c r="E17" s="1" t="s">
        <v>69</v>
      </c>
      <c r="F17" s="1" t="s">
        <v>23</v>
      </c>
      <c r="G17" s="1" t="s">
        <v>79</v>
      </c>
      <c r="H17" s="1" t="s">
        <v>25</v>
      </c>
      <c r="I17" s="1" t="s">
        <v>28</v>
      </c>
      <c r="J17" s="6">
        <v>920000</v>
      </c>
      <c r="K17" s="7">
        <v>92000</v>
      </c>
      <c r="L17" s="7">
        <f t="shared" si="0"/>
        <v>1012000</v>
      </c>
      <c r="M17" s="1">
        <v>18</v>
      </c>
      <c r="N17" s="8">
        <v>4.4000000000000004</v>
      </c>
      <c r="O17" s="9">
        <v>97.3</v>
      </c>
      <c r="P17" s="1">
        <v>4</v>
      </c>
      <c r="Q17" s="1" t="s">
        <v>48</v>
      </c>
      <c r="R17" s="1" t="s">
        <v>31</v>
      </c>
      <c r="S17" s="5">
        <v>43819</v>
      </c>
      <c r="T17" s="1" t="s">
        <v>32</v>
      </c>
      <c r="U17" t="str">
        <f>VLOOKUP(A17,Emp_Info!$B$1:$G$101,3,0)</f>
        <v>manoj</v>
      </c>
      <c r="V17" t="str">
        <f>_xlfn.XLOOKUP(A17,Emp_Info!$B$2:$B$101,Emp_Info!$A$2:$A$101,,0)</f>
        <v>gupta</v>
      </c>
      <c r="W17" s="3" t="str">
        <f t="shared" si="1"/>
        <v>Manoj Gupta</v>
      </c>
      <c r="X17" t="str">
        <f t="shared" si="2"/>
        <v>MG011</v>
      </c>
      <c r="Y17" t="str">
        <f>HLOOKUP(F17,Dept_Info!$A$2:$I$3,2,0)</f>
        <v>IT</v>
      </c>
      <c r="Z17">
        <f t="shared" si="3"/>
        <v>1012000</v>
      </c>
      <c r="AA17" t="str">
        <f t="shared" si="4"/>
        <v>High</v>
      </c>
      <c r="AB17" t="s">
        <v>263</v>
      </c>
      <c r="AC17" t="str">
        <f>INDEX(Emp_Info!$B$1:$G$101,MATCH(HR_Data!$A48,Emp_Info!$B$2:$B$101,0),MATCH(HR_Data!AC$1,Emp_Info!$B$1:$G$1,0))</f>
        <v>Bachelor</v>
      </c>
      <c r="AD17" t="str">
        <f>INDEX(Emp_Info!$A$1:$G$101,MATCH(HR_Data!$A17,Emp_Info!$B$1:$B$101,0),MATCH(HR_Data!AD$1,Emp_Info!$A$1:$G$1,0))</f>
        <v>Noida</v>
      </c>
      <c r="AE17" t="str">
        <f>INDEX(Emp_Info!$A$1:$G$101,MATCH(HR_Data!$A17,Emp_Info!$B$1:$B$101,0),MATCH(HR_Data!AE$1,Emp_Info!$A$1:$G$1,0))</f>
        <v>North</v>
      </c>
      <c r="AF17" t="str">
        <f t="shared" si="5"/>
        <v>Eligible</v>
      </c>
    </row>
    <row r="18" spans="1:32" x14ac:dyDescent="0.35">
      <c r="A18" s="1" t="s">
        <v>175</v>
      </c>
      <c r="B18" s="5">
        <v>31479</v>
      </c>
      <c r="C18" s="1">
        <v>38</v>
      </c>
      <c r="D18" s="5">
        <v>42300</v>
      </c>
      <c r="E18" s="1" t="s">
        <v>22</v>
      </c>
      <c r="F18" s="1" t="s">
        <v>58</v>
      </c>
      <c r="G18" s="1" t="s">
        <v>176</v>
      </c>
      <c r="H18" s="1" t="s">
        <v>25</v>
      </c>
      <c r="I18" s="1" t="s">
        <v>61</v>
      </c>
      <c r="J18" s="6">
        <v>920000</v>
      </c>
      <c r="K18" s="7">
        <v>92000</v>
      </c>
      <c r="L18" s="7">
        <f t="shared" si="0"/>
        <v>1012000</v>
      </c>
      <c r="M18" s="1">
        <v>17</v>
      </c>
      <c r="N18" s="8">
        <v>4.4000000000000004</v>
      </c>
      <c r="O18" s="9">
        <v>97.9</v>
      </c>
      <c r="P18" s="1">
        <v>3</v>
      </c>
      <c r="Q18" s="1" t="s">
        <v>48</v>
      </c>
      <c r="R18" s="1" t="s">
        <v>31</v>
      </c>
      <c r="S18" s="5">
        <v>44119</v>
      </c>
      <c r="T18" s="1" t="s">
        <v>32</v>
      </c>
      <c r="U18" t="str">
        <f>VLOOKUP(A18,Emp_Info!$B$1:$G$101,3,0)</f>
        <v>alok</v>
      </c>
      <c r="V18" t="str">
        <f>_xlfn.XLOOKUP(A18,Emp_Info!$B$2:$B$101,Emp_Info!$A$2:$A$101,,0)</f>
        <v>sinha</v>
      </c>
      <c r="W18" s="3" t="str">
        <f t="shared" si="1"/>
        <v>Alok Sinha</v>
      </c>
      <c r="X18" t="str">
        <f t="shared" si="2"/>
        <v>AS059</v>
      </c>
      <c r="Y18" t="str">
        <f>HLOOKUP(F18,Dept_Info!$A$2:$I$3,2,0)</f>
        <v>Marketing</v>
      </c>
      <c r="Z18">
        <f t="shared" si="3"/>
        <v>1012000</v>
      </c>
      <c r="AA18" t="str">
        <f t="shared" si="4"/>
        <v>High</v>
      </c>
      <c r="AB18" t="s">
        <v>263</v>
      </c>
      <c r="AC18" t="str">
        <f>INDEX(Emp_Info!$B$1:$G$101,MATCH(HR_Data!$A71,Emp_Info!$B$2:$B$101,0),MATCH(HR_Data!AC$1,Emp_Info!$B$1:$G$1,0))</f>
        <v>Master</v>
      </c>
      <c r="AD18" t="str">
        <f>INDEX(Emp_Info!$A$1:$G$101,MATCH(HR_Data!$A18,Emp_Info!$B$1:$B$101,0),MATCH(HR_Data!AD$1,Emp_Info!$A$1:$G$1,0))</f>
        <v>Chennai</v>
      </c>
      <c r="AE18" t="str">
        <f>INDEX(Emp_Info!$A$1:$G$101,MATCH(HR_Data!$A18,Emp_Info!$B$1:$B$101,0),MATCH(HR_Data!AE$1,Emp_Info!$A$1:$G$1,0))</f>
        <v>South</v>
      </c>
      <c r="AF18" t="str">
        <f t="shared" si="5"/>
        <v>Eligible</v>
      </c>
    </row>
    <row r="19" spans="1:32" x14ac:dyDescent="0.35">
      <c r="A19" s="1" t="s">
        <v>243</v>
      </c>
      <c r="B19" s="5">
        <v>32080</v>
      </c>
      <c r="C19" s="1">
        <v>37</v>
      </c>
      <c r="D19" s="5">
        <v>42531</v>
      </c>
      <c r="E19" s="1" t="s">
        <v>69</v>
      </c>
      <c r="F19" s="1" t="s">
        <v>43</v>
      </c>
      <c r="G19" s="1" t="s">
        <v>244</v>
      </c>
      <c r="H19" s="1" t="s">
        <v>25</v>
      </c>
      <c r="I19" s="1" t="s">
        <v>47</v>
      </c>
      <c r="J19" s="6">
        <v>920000</v>
      </c>
      <c r="K19" s="7">
        <v>92000</v>
      </c>
      <c r="L19" s="7">
        <f t="shared" si="0"/>
        <v>1012000</v>
      </c>
      <c r="M19" s="1">
        <v>15</v>
      </c>
      <c r="N19" s="8">
        <v>4.5</v>
      </c>
      <c r="O19" s="9">
        <v>98</v>
      </c>
      <c r="P19" s="1">
        <v>3</v>
      </c>
      <c r="Q19" s="1" t="s">
        <v>30</v>
      </c>
      <c r="R19" s="1" t="s">
        <v>31</v>
      </c>
      <c r="S19" s="5">
        <v>44367</v>
      </c>
      <c r="T19" s="1" t="s">
        <v>32</v>
      </c>
      <c r="U19" t="str">
        <f>VLOOKUP(A19,Emp_Info!$B$1:$G$101,3,0)</f>
        <v>dinesh</v>
      </c>
      <c r="V19" t="str">
        <f>_xlfn.XLOOKUP(A19,Emp_Info!$B$2:$B$101,Emp_Info!$A$2:$A$101,,0)</f>
        <v>reddy</v>
      </c>
      <c r="W19" s="3" t="str">
        <f t="shared" si="1"/>
        <v>Dinesh Reddy</v>
      </c>
      <c r="X19" t="str">
        <f t="shared" si="2"/>
        <v>DR093</v>
      </c>
      <c r="Y19" t="str">
        <f>HLOOKUP(F19,Dept_Info!$A$2:$I$3,2,0)</f>
        <v>Finance</v>
      </c>
      <c r="Z19">
        <f t="shared" si="3"/>
        <v>1012000</v>
      </c>
      <c r="AA19" t="str">
        <f t="shared" si="4"/>
        <v>High</v>
      </c>
      <c r="AB19" t="s">
        <v>263</v>
      </c>
      <c r="AC19" t="str">
        <f>INDEX(Emp_Info!$B$1:$G$101,MATCH(HR_Data!$A23,Emp_Info!$B$2:$B$101,0),MATCH(HR_Data!AC$1,Emp_Info!$B$1:$G$1,0))</f>
        <v>Master</v>
      </c>
      <c r="AD19" t="str">
        <f>INDEX(Emp_Info!$A$1:$G$101,MATCH(HR_Data!$A19,Emp_Info!$B$1:$B$101,0),MATCH(HR_Data!AD$1,Emp_Info!$A$1:$G$1,0))</f>
        <v>Delhi</v>
      </c>
      <c r="AE19" t="str">
        <f>INDEX(Emp_Info!$A$1:$G$101,MATCH(HR_Data!$A19,Emp_Info!$B$1:$B$101,0),MATCH(HR_Data!AE$1,Emp_Info!$A$1:$G$1,0))</f>
        <v>North</v>
      </c>
      <c r="AF19" t="str">
        <f t="shared" si="5"/>
        <v>Eligible</v>
      </c>
    </row>
    <row r="20" spans="1:32" x14ac:dyDescent="0.35">
      <c r="A20" s="1" t="s">
        <v>249</v>
      </c>
      <c r="B20" s="5">
        <v>33579</v>
      </c>
      <c r="C20" s="1">
        <v>33</v>
      </c>
      <c r="D20" s="5">
        <v>43758</v>
      </c>
      <c r="E20" s="1" t="s">
        <v>69</v>
      </c>
      <c r="F20" s="1" t="s">
        <v>23</v>
      </c>
      <c r="G20" s="1" t="s">
        <v>250</v>
      </c>
      <c r="H20" s="1" t="s">
        <v>25</v>
      </c>
      <c r="I20" s="1" t="s">
        <v>28</v>
      </c>
      <c r="J20" s="6">
        <v>920000</v>
      </c>
      <c r="K20" s="7">
        <v>92000</v>
      </c>
      <c r="L20" s="7">
        <f t="shared" si="0"/>
        <v>1012000</v>
      </c>
      <c r="M20" s="1">
        <v>9</v>
      </c>
      <c r="N20" s="8">
        <v>4.5</v>
      </c>
      <c r="O20" s="9">
        <v>98.1</v>
      </c>
      <c r="P20" s="1">
        <v>4</v>
      </c>
      <c r="Q20" s="1" t="s">
        <v>30</v>
      </c>
      <c r="R20" s="1" t="s">
        <v>31</v>
      </c>
      <c r="S20" s="5">
        <v>45214</v>
      </c>
      <c r="T20" s="1" t="s">
        <v>32</v>
      </c>
      <c r="U20" t="str">
        <f>VLOOKUP(A20,Emp_Info!$B$1:$G$101,3,0)</f>
        <v>anjana</v>
      </c>
      <c r="V20" t="str">
        <f>_xlfn.XLOOKUP(A20,Emp_Info!$B$2:$B$101,Emp_Info!$A$2:$A$101,,0)</f>
        <v>nair</v>
      </c>
      <c r="W20" s="3" t="str">
        <f t="shared" si="1"/>
        <v>Anjana Nair</v>
      </c>
      <c r="X20" t="str">
        <f t="shared" si="2"/>
        <v>AN096</v>
      </c>
      <c r="Y20" t="str">
        <f>HLOOKUP(F20,Dept_Info!$A$2:$I$3,2,0)</f>
        <v>IT</v>
      </c>
      <c r="Z20">
        <f t="shared" si="3"/>
        <v>1012000</v>
      </c>
      <c r="AA20" t="str">
        <f t="shared" si="4"/>
        <v>High</v>
      </c>
      <c r="AB20" t="s">
        <v>264</v>
      </c>
      <c r="AC20" t="str">
        <f>INDEX(Emp_Info!$B$1:$G$101,MATCH(HR_Data!$A56,Emp_Info!$B$2:$B$101,0),MATCH(HR_Data!AC$1,Emp_Info!$B$1:$G$1,0))</f>
        <v>Master</v>
      </c>
      <c r="AD20" t="str">
        <f>INDEX(Emp_Info!$A$1:$G$101,MATCH(HR_Data!$A20,Emp_Info!$B$1:$B$101,0),MATCH(HR_Data!AD$1,Emp_Info!$A$1:$G$1,0))</f>
        <v>Noida</v>
      </c>
      <c r="AE20" t="str">
        <f>INDEX(Emp_Info!$A$1:$G$101,MATCH(HR_Data!$A20,Emp_Info!$B$1:$B$101,0),MATCH(HR_Data!AE$1,Emp_Info!$A$1:$G$1,0))</f>
        <v>North</v>
      </c>
      <c r="AF20" t="str">
        <f t="shared" si="5"/>
        <v>Eligible</v>
      </c>
    </row>
    <row r="21" spans="1:32" x14ac:dyDescent="0.35">
      <c r="A21" s="1" t="s">
        <v>221</v>
      </c>
      <c r="B21" s="5">
        <v>34530</v>
      </c>
      <c r="C21" s="1">
        <v>30</v>
      </c>
      <c r="D21" s="5">
        <v>44862</v>
      </c>
      <c r="E21" s="1" t="s">
        <v>22</v>
      </c>
      <c r="F21" s="1" t="s">
        <v>23</v>
      </c>
      <c r="G21" s="1" t="s">
        <v>222</v>
      </c>
      <c r="H21" s="1" t="s">
        <v>25</v>
      </c>
      <c r="I21" s="1" t="s">
        <v>28</v>
      </c>
      <c r="J21" s="6">
        <v>920000</v>
      </c>
      <c r="K21" s="7">
        <v>92000</v>
      </c>
      <c r="L21" s="7">
        <f t="shared" si="0"/>
        <v>1012000</v>
      </c>
      <c r="M21" s="1">
        <v>5</v>
      </c>
      <c r="N21" s="8">
        <v>4.5</v>
      </c>
      <c r="O21" s="9">
        <v>97.8</v>
      </c>
      <c r="P21" s="1">
        <v>3</v>
      </c>
      <c r="Q21" s="1" t="s">
        <v>30</v>
      </c>
      <c r="R21" s="1" t="s">
        <v>31</v>
      </c>
      <c r="S21" s="1" t="s">
        <v>50</v>
      </c>
      <c r="T21" s="1" t="s">
        <v>32</v>
      </c>
      <c r="U21" t="str">
        <f>VLOOKUP(A21,Emp_Info!$B$1:$G$101,3,0)</f>
        <v>namita</v>
      </c>
      <c r="V21" t="str">
        <f>_xlfn.XLOOKUP(A21,Emp_Info!$B$2:$B$101,Emp_Info!$A$2:$A$101,,0)</f>
        <v>rao</v>
      </c>
      <c r="W21" s="3" t="str">
        <f t="shared" si="1"/>
        <v>Namita Rao</v>
      </c>
      <c r="X21" t="str">
        <f t="shared" si="2"/>
        <v>NR082</v>
      </c>
      <c r="Y21" t="str">
        <f>HLOOKUP(F21,Dept_Info!$A$2:$I$3,2,0)</f>
        <v>IT</v>
      </c>
      <c r="Z21">
        <f t="shared" si="3"/>
        <v>1012000</v>
      </c>
      <c r="AA21" t="str">
        <f t="shared" si="4"/>
        <v>High</v>
      </c>
      <c r="AB21" t="s">
        <v>264</v>
      </c>
      <c r="AC21" t="str">
        <f>INDEX(Emp_Info!$B$1:$G$101,MATCH(HR_Data!$A63,Emp_Info!$B$2:$B$101,0),MATCH(HR_Data!AC$1,Emp_Info!$B$1:$G$1,0))</f>
        <v>Master</v>
      </c>
      <c r="AD21" t="str">
        <f>INDEX(Emp_Info!$A$1:$G$101,MATCH(HR_Data!$A21,Emp_Info!$B$1:$B$101,0),MATCH(HR_Data!AD$1,Emp_Info!$A$1:$G$1,0))</f>
        <v>Noida</v>
      </c>
      <c r="AE21" t="str">
        <f>INDEX(Emp_Info!$A$1:$G$101,MATCH(HR_Data!$A21,Emp_Info!$B$1:$B$101,0),MATCH(HR_Data!AE$1,Emp_Info!$A$1:$G$1,0))</f>
        <v>North</v>
      </c>
      <c r="AF21" t="str">
        <f t="shared" si="5"/>
        <v>Not Eligible</v>
      </c>
    </row>
    <row r="22" spans="1:32" x14ac:dyDescent="0.35">
      <c r="A22" s="1" t="s">
        <v>155</v>
      </c>
      <c r="B22" s="5">
        <v>32199</v>
      </c>
      <c r="C22" s="1">
        <v>36</v>
      </c>
      <c r="D22" s="5">
        <v>42622</v>
      </c>
      <c r="E22" s="1" t="s">
        <v>69</v>
      </c>
      <c r="F22" s="1" t="s">
        <v>65</v>
      </c>
      <c r="G22" s="1" t="s">
        <v>156</v>
      </c>
      <c r="H22" s="1" t="s">
        <v>25</v>
      </c>
      <c r="I22" s="1" t="s">
        <v>67</v>
      </c>
      <c r="J22" s="6">
        <v>890000</v>
      </c>
      <c r="K22" s="7">
        <v>105000</v>
      </c>
      <c r="L22" s="7">
        <f t="shared" si="0"/>
        <v>995000</v>
      </c>
      <c r="M22" s="1">
        <v>14</v>
      </c>
      <c r="N22" s="8">
        <v>4.4000000000000004</v>
      </c>
      <c r="O22" s="9">
        <v>97.5</v>
      </c>
      <c r="P22" s="1">
        <v>3</v>
      </c>
      <c r="Q22" s="1" t="s">
        <v>30</v>
      </c>
      <c r="R22" s="1" t="s">
        <v>31</v>
      </c>
      <c r="S22" s="5">
        <v>44459</v>
      </c>
      <c r="T22" s="1" t="s">
        <v>32</v>
      </c>
      <c r="U22" t="str">
        <f>VLOOKUP(A22,Emp_Info!$B$1:$G$101,3,0)</f>
        <v>sunil</v>
      </c>
      <c r="V22" t="str">
        <f>_xlfn.XLOOKUP(A22,Emp_Info!$B$2:$B$101,Emp_Info!$A$2:$A$101,,0)</f>
        <v>agarwal</v>
      </c>
      <c r="W22" s="3" t="str">
        <f t="shared" si="1"/>
        <v>Sunil Agarwal</v>
      </c>
      <c r="X22" t="str">
        <f t="shared" si="2"/>
        <v>SA049</v>
      </c>
      <c r="Y22" t="str">
        <f>HLOOKUP(F22,Dept_Info!$A$2:$I$3,2,0)</f>
        <v>Sales</v>
      </c>
      <c r="Z22">
        <f t="shared" si="3"/>
        <v>1144250</v>
      </c>
      <c r="AA22" t="str">
        <f t="shared" si="4"/>
        <v>Medium</v>
      </c>
      <c r="AB22" t="s">
        <v>263</v>
      </c>
      <c r="AC22" t="str">
        <f>INDEX(Emp_Info!$B$1:$G$101,MATCH(HR_Data!$A90,Emp_Info!$B$2:$B$101,0),MATCH(HR_Data!AC$1,Emp_Info!$B$1:$G$1,0))</f>
        <v>Bachelor</v>
      </c>
      <c r="AD22" t="str">
        <f>INDEX(Emp_Info!$A$1:$G$101,MATCH(HR_Data!$A22,Emp_Info!$B$1:$B$101,0),MATCH(HR_Data!AD$1,Emp_Info!$A$1:$G$1,0))</f>
        <v>Bangalore</v>
      </c>
      <c r="AE22" t="str">
        <f>INDEX(Emp_Info!$A$1:$G$101,MATCH(HR_Data!$A22,Emp_Info!$B$1:$B$101,0),MATCH(HR_Data!AE$1,Emp_Info!$A$1:$G$1,0))</f>
        <v>South</v>
      </c>
      <c r="AF22" t="str">
        <f t="shared" si="5"/>
        <v>Eligible</v>
      </c>
    </row>
    <row r="23" spans="1:32" x14ac:dyDescent="0.35">
      <c r="A23" s="1" t="s">
        <v>64</v>
      </c>
      <c r="B23" s="5">
        <v>32673</v>
      </c>
      <c r="C23" s="1">
        <v>35</v>
      </c>
      <c r="D23" s="5">
        <v>43434</v>
      </c>
      <c r="E23" s="1" t="s">
        <v>22</v>
      </c>
      <c r="F23" s="1" t="s">
        <v>65</v>
      </c>
      <c r="G23" s="1" t="s">
        <v>66</v>
      </c>
      <c r="H23" s="1" t="s">
        <v>25</v>
      </c>
      <c r="I23" s="1" t="s">
        <v>67</v>
      </c>
      <c r="J23" s="6">
        <v>880000</v>
      </c>
      <c r="K23" s="7">
        <v>110000</v>
      </c>
      <c r="L23" s="7">
        <f t="shared" si="0"/>
        <v>990000</v>
      </c>
      <c r="M23" s="1">
        <v>11</v>
      </c>
      <c r="N23" s="8">
        <v>4.3</v>
      </c>
      <c r="O23" s="9">
        <v>96.7</v>
      </c>
      <c r="P23" s="1">
        <v>1</v>
      </c>
      <c r="Q23" s="1" t="s">
        <v>30</v>
      </c>
      <c r="R23" s="1" t="s">
        <v>49</v>
      </c>
      <c r="S23" s="5">
        <v>44880</v>
      </c>
      <c r="T23" s="1" t="s">
        <v>32</v>
      </c>
      <c r="U23" t="str">
        <f>VLOOKUP(A23,Emp_Info!$B$1:$G$101,3,0)</f>
        <v>rahul</v>
      </c>
      <c r="V23" t="str">
        <f>_xlfn.XLOOKUP(A23,Emp_Info!$B$2:$B$101,Emp_Info!$A$2:$A$101,,0)</f>
        <v>mehta</v>
      </c>
      <c r="W23" s="3" t="str">
        <f t="shared" si="1"/>
        <v>Rahul Mehta</v>
      </c>
      <c r="X23" t="str">
        <f t="shared" si="2"/>
        <v>RM007</v>
      </c>
      <c r="Y23" t="str">
        <f>HLOOKUP(F23,Dept_Info!$A$2:$I$3,2,0)</f>
        <v>Sales</v>
      </c>
      <c r="Z23">
        <f t="shared" si="3"/>
        <v>1138500</v>
      </c>
      <c r="AA23" t="str">
        <f t="shared" si="4"/>
        <v>Medium</v>
      </c>
      <c r="AB23" t="s">
        <v>263</v>
      </c>
      <c r="AC23" t="str">
        <f>INDEX(Emp_Info!$B$1:$G$101,MATCH(HR_Data!$A94,Emp_Info!$B$2:$B$101,0),MATCH(HR_Data!AC$1,Emp_Info!$B$1:$G$1,0))</f>
        <v>Bachelor</v>
      </c>
      <c r="AD23" t="str">
        <f>INDEX(Emp_Info!$A$1:$G$101,MATCH(HR_Data!$A23,Emp_Info!$B$1:$B$101,0),MATCH(HR_Data!AD$1,Emp_Info!$A$1:$G$1,0))</f>
        <v>Delhi</v>
      </c>
      <c r="AE23" t="str">
        <f>INDEX(Emp_Info!$A$1:$G$101,MATCH(HR_Data!$A23,Emp_Info!$B$1:$B$101,0),MATCH(HR_Data!AE$1,Emp_Info!$A$1:$G$1,0))</f>
        <v>North</v>
      </c>
      <c r="AF23" t="str">
        <f t="shared" si="5"/>
        <v>Not Eligible</v>
      </c>
    </row>
    <row r="24" spans="1:32" x14ac:dyDescent="0.35">
      <c r="A24" s="1" t="s">
        <v>255</v>
      </c>
      <c r="B24" s="5">
        <v>32308</v>
      </c>
      <c r="C24" s="1">
        <v>36</v>
      </c>
      <c r="D24" s="5">
        <v>43048</v>
      </c>
      <c r="E24" s="1" t="s">
        <v>42</v>
      </c>
      <c r="F24" s="1" t="s">
        <v>43</v>
      </c>
      <c r="G24" s="1" t="s">
        <v>256</v>
      </c>
      <c r="H24" s="1" t="s">
        <v>25</v>
      </c>
      <c r="I24" s="1" t="s">
        <v>47</v>
      </c>
      <c r="J24" s="6">
        <v>890000</v>
      </c>
      <c r="K24" s="7">
        <v>88000</v>
      </c>
      <c r="L24" s="7">
        <f t="shared" si="0"/>
        <v>978000</v>
      </c>
      <c r="M24" s="1">
        <v>13</v>
      </c>
      <c r="N24" s="8">
        <v>4.4000000000000004</v>
      </c>
      <c r="O24" s="9">
        <v>97.6</v>
      </c>
      <c r="P24" s="1">
        <v>3</v>
      </c>
      <c r="Q24" s="1" t="s">
        <v>30</v>
      </c>
      <c r="R24" s="1" t="s">
        <v>31</v>
      </c>
      <c r="S24" s="5">
        <v>44885</v>
      </c>
      <c r="T24" s="1" t="s">
        <v>32</v>
      </c>
      <c r="U24" t="str">
        <f>VLOOKUP(A24,Emp_Info!$B$1:$G$101,3,0)</f>
        <v>vikas</v>
      </c>
      <c r="V24" t="str">
        <f>_xlfn.XLOOKUP(A24,Emp_Info!$B$2:$B$101,Emp_Info!$A$2:$A$101,,0)</f>
        <v>sharma</v>
      </c>
      <c r="W24" s="3" t="str">
        <f t="shared" si="1"/>
        <v>Vikas Sharma</v>
      </c>
      <c r="X24" t="str">
        <f t="shared" si="2"/>
        <v>VS099</v>
      </c>
      <c r="Y24" t="str">
        <f>HLOOKUP(F24,Dept_Info!$A$2:$I$3,2,0)</f>
        <v>Finance</v>
      </c>
      <c r="Z24">
        <f t="shared" si="3"/>
        <v>978000</v>
      </c>
      <c r="AA24" t="str">
        <f t="shared" si="4"/>
        <v>Medium</v>
      </c>
      <c r="AB24" t="s">
        <v>263</v>
      </c>
      <c r="AC24" t="str">
        <f>INDEX(Emp_Info!$B$1:$G$101,MATCH(HR_Data!$A27,Emp_Info!$B$2:$B$101,0),MATCH(HR_Data!AC$1,Emp_Info!$B$1:$G$1,0))</f>
        <v>Master</v>
      </c>
      <c r="AD24" t="str">
        <f>INDEX(Emp_Info!$A$1:$G$101,MATCH(HR_Data!$A24,Emp_Info!$B$1:$B$101,0),MATCH(HR_Data!AD$1,Emp_Info!$A$1:$G$1,0))</f>
        <v>Pune</v>
      </c>
      <c r="AE24" t="str">
        <f>INDEX(Emp_Info!$A$1:$G$101,MATCH(HR_Data!$A24,Emp_Info!$B$1:$B$101,0),MATCH(HR_Data!AE$1,Emp_Info!$A$1:$G$1,0))</f>
        <v>West</v>
      </c>
      <c r="AF24" t="str">
        <f t="shared" si="5"/>
        <v>Eligible</v>
      </c>
    </row>
    <row r="25" spans="1:32" x14ac:dyDescent="0.35">
      <c r="A25" s="1" t="s">
        <v>115</v>
      </c>
      <c r="B25" s="5">
        <v>32485</v>
      </c>
      <c r="C25" s="1"/>
      <c r="D25" s="5">
        <v>42903</v>
      </c>
      <c r="E25" s="1" t="s">
        <v>34</v>
      </c>
      <c r="F25" s="1" t="s">
        <v>58</v>
      </c>
      <c r="G25" s="1" t="s">
        <v>116</v>
      </c>
      <c r="H25" s="1" t="s">
        <v>25</v>
      </c>
      <c r="I25" s="1" t="s">
        <v>61</v>
      </c>
      <c r="J25" s="6">
        <v>890000</v>
      </c>
      <c r="K25" s="7">
        <v>88000</v>
      </c>
      <c r="L25" s="7">
        <f t="shared" si="0"/>
        <v>978000</v>
      </c>
      <c r="M25" s="1">
        <v>13</v>
      </c>
      <c r="N25" s="8">
        <v>4.3</v>
      </c>
      <c r="O25" s="9">
        <v>98</v>
      </c>
      <c r="P25" s="1">
        <v>3</v>
      </c>
      <c r="Q25" s="1" t="s">
        <v>30</v>
      </c>
      <c r="R25" s="1" t="s">
        <v>31</v>
      </c>
      <c r="S25" s="5">
        <v>44732</v>
      </c>
      <c r="T25" s="1" t="s">
        <v>32</v>
      </c>
      <c r="U25" t="str">
        <f>VLOOKUP(A25,Emp_Info!$B$1:$G$101,3,0)</f>
        <v>nitin</v>
      </c>
      <c r="V25" t="str">
        <f>_xlfn.XLOOKUP(A25,Emp_Info!$B$2:$B$101,Emp_Info!$A$2:$A$101,,0)</f>
        <v>jain</v>
      </c>
      <c r="W25" s="3" t="str">
        <f t="shared" si="1"/>
        <v>Nitin Jain</v>
      </c>
      <c r="X25" t="str">
        <f t="shared" si="2"/>
        <v>NJ029</v>
      </c>
      <c r="Y25" t="str">
        <f>HLOOKUP(F25,Dept_Info!$A$2:$I$3,2,0)</f>
        <v>Marketing</v>
      </c>
      <c r="Z25">
        <f t="shared" si="3"/>
        <v>978000</v>
      </c>
      <c r="AA25" t="str">
        <f t="shared" si="4"/>
        <v>Medium</v>
      </c>
      <c r="AB25" t="s">
        <v>263</v>
      </c>
      <c r="AC25" t="str">
        <f>INDEX(Emp_Info!$B$1:$G$101,MATCH(HR_Data!$A78,Emp_Info!$B$2:$B$101,0),MATCH(HR_Data!AC$1,Emp_Info!$B$1:$G$1,0))</f>
        <v>Bachelor</v>
      </c>
      <c r="AD25" t="str">
        <f>INDEX(Emp_Info!$A$1:$G$101,MATCH(HR_Data!$A25,Emp_Info!$B$1:$B$101,0),MATCH(HR_Data!AD$1,Emp_Info!$A$1:$G$1,0))</f>
        <v>Pune</v>
      </c>
      <c r="AE25" t="str">
        <f>INDEX(Emp_Info!$A$1:$G$101,MATCH(HR_Data!$A25,Emp_Info!$B$1:$B$101,0),MATCH(HR_Data!AE$1,Emp_Info!$A$1:$G$1,0))</f>
        <v>West</v>
      </c>
      <c r="AF25" t="str">
        <f t="shared" si="5"/>
        <v>Eligible</v>
      </c>
    </row>
    <row r="26" spans="1:32" x14ac:dyDescent="0.35">
      <c r="A26" s="1" t="s">
        <v>239</v>
      </c>
      <c r="B26" s="5">
        <v>32514</v>
      </c>
      <c r="C26" s="1">
        <v>35</v>
      </c>
      <c r="D26" s="5">
        <v>43084</v>
      </c>
      <c r="E26" s="1" t="s">
        <v>34</v>
      </c>
      <c r="F26" s="1" t="s">
        <v>65</v>
      </c>
      <c r="G26" s="1" t="s">
        <v>240</v>
      </c>
      <c r="H26" s="1" t="s">
        <v>25</v>
      </c>
      <c r="I26" s="1" t="s">
        <v>67</v>
      </c>
      <c r="J26" s="6">
        <v>870000</v>
      </c>
      <c r="K26" s="7">
        <v>98000</v>
      </c>
      <c r="L26" s="7">
        <f t="shared" si="0"/>
        <v>968000</v>
      </c>
      <c r="M26" s="1">
        <v>12</v>
      </c>
      <c r="N26" s="8">
        <v>4.4000000000000004</v>
      </c>
      <c r="O26" s="9">
        <v>97.4</v>
      </c>
      <c r="P26" s="1">
        <v>2</v>
      </c>
      <c r="Q26" s="1" t="s">
        <v>30</v>
      </c>
      <c r="R26" s="1" t="s">
        <v>31</v>
      </c>
      <c r="S26" s="5">
        <v>44915</v>
      </c>
      <c r="T26" s="1" t="s">
        <v>32</v>
      </c>
      <c r="U26" t="str">
        <f>VLOOKUP(A26,Emp_Info!$B$1:$G$101,3,0)</f>
        <v>sameer</v>
      </c>
      <c r="V26" t="str">
        <f>_xlfn.XLOOKUP(A26,Emp_Info!$B$2:$B$101,Emp_Info!$A$2:$A$101,,0)</f>
        <v>bansal</v>
      </c>
      <c r="W26" s="3" t="str">
        <f t="shared" si="1"/>
        <v>Sameer Bansal</v>
      </c>
      <c r="X26" t="str">
        <f t="shared" si="2"/>
        <v>SB091</v>
      </c>
      <c r="Y26" t="str">
        <f>HLOOKUP(F26,Dept_Info!$A$2:$I$3,2,0)</f>
        <v>Sales</v>
      </c>
      <c r="Z26">
        <f t="shared" si="3"/>
        <v>1113200</v>
      </c>
      <c r="AA26" t="str">
        <f t="shared" si="4"/>
        <v>Medium</v>
      </c>
      <c r="AB26" t="s">
        <v>263</v>
      </c>
      <c r="AC26" t="str">
        <f>INDEX(Emp_Info!$B$1:$G$101,MATCH(HR_Data!$A93,Emp_Info!$B$2:$B$101,0),MATCH(HR_Data!AC$1,Emp_Info!$B$1:$G$1,0))</f>
        <v>Master</v>
      </c>
      <c r="AD26" t="str">
        <f>INDEX(Emp_Info!$A$1:$G$101,MATCH(HR_Data!$A26,Emp_Info!$B$1:$B$101,0),MATCH(HR_Data!AD$1,Emp_Info!$A$1:$G$1,0))</f>
        <v>Pune</v>
      </c>
      <c r="AE26" t="str">
        <f>INDEX(Emp_Info!$A$1:$G$101,MATCH(HR_Data!$A26,Emp_Info!$B$1:$B$101,0),MATCH(HR_Data!AE$1,Emp_Info!$A$1:$G$1,0))</f>
        <v>West</v>
      </c>
      <c r="AF26" t="str">
        <f t="shared" si="5"/>
        <v>Not Eligible</v>
      </c>
    </row>
    <row r="27" spans="1:32" x14ac:dyDescent="0.35">
      <c r="A27" s="1" t="s">
        <v>131</v>
      </c>
      <c r="B27" s="5">
        <v>31471</v>
      </c>
      <c r="C27" s="1">
        <v>38</v>
      </c>
      <c r="D27" s="5">
        <v>42342</v>
      </c>
      <c r="E27" s="1" t="s">
        <v>22</v>
      </c>
      <c r="F27" s="1" t="s">
        <v>23</v>
      </c>
      <c r="G27" s="1" t="s">
        <v>132</v>
      </c>
      <c r="H27" s="1" t="s">
        <v>25</v>
      </c>
      <c r="I27" s="1" t="s">
        <v>28</v>
      </c>
      <c r="J27" s="6">
        <v>880000</v>
      </c>
      <c r="K27" s="7">
        <v>85000</v>
      </c>
      <c r="L27" s="7">
        <f t="shared" si="0"/>
        <v>965000</v>
      </c>
      <c r="M27" s="1">
        <v>16</v>
      </c>
      <c r="N27" s="8">
        <v>4.4000000000000004</v>
      </c>
      <c r="O27" s="9">
        <v>97.4</v>
      </c>
      <c r="P27" s="1">
        <v>4</v>
      </c>
      <c r="Q27" s="1" t="s">
        <v>48</v>
      </c>
      <c r="R27" s="1" t="s">
        <v>31</v>
      </c>
      <c r="S27" s="5">
        <v>44180</v>
      </c>
      <c r="T27" s="1" t="s">
        <v>32</v>
      </c>
      <c r="U27" t="str">
        <f>VLOOKUP(A27,Emp_Info!$B$1:$G$101,3,0)</f>
        <v>ajay</v>
      </c>
      <c r="V27" t="str">
        <f>_xlfn.XLOOKUP(A27,Emp_Info!$B$2:$B$101,Emp_Info!$A$2:$A$101,,0)</f>
        <v>sharma</v>
      </c>
      <c r="W27" s="3" t="str">
        <f t="shared" si="1"/>
        <v>Ajay Sharma</v>
      </c>
      <c r="X27" t="str">
        <f t="shared" si="2"/>
        <v>AS037</v>
      </c>
      <c r="Y27" t="str">
        <f>HLOOKUP(F27,Dept_Info!$A$2:$I$3,2,0)</f>
        <v>IT</v>
      </c>
      <c r="Z27">
        <f t="shared" si="3"/>
        <v>965000</v>
      </c>
      <c r="AA27" t="str">
        <f t="shared" si="4"/>
        <v>Medium</v>
      </c>
      <c r="AB27" t="s">
        <v>263</v>
      </c>
      <c r="AC27" t="str">
        <f>INDEX(Emp_Info!$B$1:$G$101,MATCH(HR_Data!$A50,Emp_Info!$B$2:$B$101,0),MATCH(HR_Data!AC$1,Emp_Info!$B$1:$G$1,0))</f>
        <v>Bachelor</v>
      </c>
      <c r="AD27" t="str">
        <f>INDEX(Emp_Info!$A$1:$G$101,MATCH(HR_Data!$A27,Emp_Info!$B$1:$B$101,0),MATCH(HR_Data!AD$1,Emp_Info!$A$1:$G$1,0))</f>
        <v>Bangalore</v>
      </c>
      <c r="AE27" t="str">
        <f>INDEX(Emp_Info!$A$1:$G$101,MATCH(HR_Data!$A27,Emp_Info!$B$1:$B$101,0),MATCH(HR_Data!AE$1,Emp_Info!$A$1:$G$1,0))</f>
        <v>South</v>
      </c>
      <c r="AF27" t="str">
        <f t="shared" si="5"/>
        <v>Eligible</v>
      </c>
    </row>
    <row r="28" spans="1:32" x14ac:dyDescent="0.35">
      <c r="A28" s="1" t="s">
        <v>229</v>
      </c>
      <c r="B28" s="5">
        <v>33453</v>
      </c>
      <c r="C28" s="1">
        <v>33</v>
      </c>
      <c r="D28" s="5">
        <v>43795</v>
      </c>
      <c r="E28" s="1" t="s">
        <v>22</v>
      </c>
      <c r="F28" s="1" t="s">
        <v>23</v>
      </c>
      <c r="G28" s="1" t="s">
        <v>230</v>
      </c>
      <c r="H28" s="1" t="s">
        <v>25</v>
      </c>
      <c r="I28" s="1" t="s">
        <v>28</v>
      </c>
      <c r="J28" s="6">
        <v>880000</v>
      </c>
      <c r="K28" s="7">
        <v>85000</v>
      </c>
      <c r="L28" s="7">
        <f t="shared" si="0"/>
        <v>965000</v>
      </c>
      <c r="M28" s="1">
        <v>9</v>
      </c>
      <c r="N28" s="8">
        <v>4.4000000000000004</v>
      </c>
      <c r="O28" s="9">
        <v>97.6</v>
      </c>
      <c r="P28" s="1">
        <v>3</v>
      </c>
      <c r="Q28" s="1" t="s">
        <v>30</v>
      </c>
      <c r="R28" s="1" t="s">
        <v>31</v>
      </c>
      <c r="S28" s="1" t="s">
        <v>50</v>
      </c>
      <c r="T28" s="1" t="s">
        <v>32</v>
      </c>
      <c r="U28" t="str">
        <f>VLOOKUP(A28,Emp_Info!$B$1:$G$101,3,0)</f>
        <v>preeti</v>
      </c>
      <c r="V28" t="str">
        <f>_xlfn.XLOOKUP(A28,Emp_Info!$B$2:$B$101,Emp_Info!$A$2:$A$101,,0)</f>
        <v>menon</v>
      </c>
      <c r="W28" s="3" t="str">
        <f t="shared" si="1"/>
        <v>Preeti Menon</v>
      </c>
      <c r="X28" t="str">
        <f t="shared" si="2"/>
        <v>PM086</v>
      </c>
      <c r="Y28" t="str">
        <f>HLOOKUP(F28,Dept_Info!$A$2:$I$3,2,0)</f>
        <v>IT</v>
      </c>
      <c r="Z28">
        <f t="shared" si="3"/>
        <v>965000</v>
      </c>
      <c r="AA28" t="str">
        <f t="shared" si="4"/>
        <v>Medium</v>
      </c>
      <c r="AB28" t="s">
        <v>264</v>
      </c>
      <c r="AC28" t="str">
        <f>INDEX(Emp_Info!$B$1:$G$101,MATCH(HR_Data!$A59,Emp_Info!$B$2:$B$101,0),MATCH(HR_Data!AC$1,Emp_Info!$B$1:$G$1,0))</f>
        <v>Bachelor</v>
      </c>
      <c r="AD28" t="str">
        <f>INDEX(Emp_Info!$A$1:$G$101,MATCH(HR_Data!$A28,Emp_Info!$B$1:$B$101,0),MATCH(HR_Data!AD$1,Emp_Info!$A$1:$G$1,0))</f>
        <v>Bangalore</v>
      </c>
      <c r="AE28" t="str">
        <f>INDEX(Emp_Info!$A$1:$G$101,MATCH(HR_Data!$A28,Emp_Info!$B$1:$B$101,0),MATCH(HR_Data!AE$1,Emp_Info!$A$1:$G$1,0))</f>
        <v>South</v>
      </c>
      <c r="AF28" t="str">
        <f t="shared" si="5"/>
        <v>Eligible</v>
      </c>
    </row>
    <row r="29" spans="1:32" x14ac:dyDescent="0.35">
      <c r="A29" s="1" t="s">
        <v>119</v>
      </c>
      <c r="B29" s="5">
        <v>31837</v>
      </c>
      <c r="C29" s="1">
        <v>37</v>
      </c>
      <c r="D29" s="5">
        <v>42680</v>
      </c>
      <c r="E29" s="1" t="s">
        <v>22</v>
      </c>
      <c r="F29" s="1" t="s">
        <v>65</v>
      </c>
      <c r="G29" s="1" t="s">
        <v>120</v>
      </c>
      <c r="H29" s="1" t="s">
        <v>25</v>
      </c>
      <c r="I29" s="1" t="s">
        <v>67</v>
      </c>
      <c r="J29" s="6">
        <v>860000</v>
      </c>
      <c r="K29" s="7">
        <v>98000</v>
      </c>
      <c r="L29" s="7">
        <f t="shared" si="0"/>
        <v>958000</v>
      </c>
      <c r="M29" s="1">
        <v>14</v>
      </c>
      <c r="N29" s="8">
        <v>4.4000000000000004</v>
      </c>
      <c r="O29" s="9">
        <v>96.9</v>
      </c>
      <c r="P29" s="1">
        <v>2</v>
      </c>
      <c r="Q29" s="1" t="s">
        <v>30</v>
      </c>
      <c r="R29" s="1" t="s">
        <v>31</v>
      </c>
      <c r="S29" s="5">
        <v>44515</v>
      </c>
      <c r="T29" s="1" t="s">
        <v>32</v>
      </c>
      <c r="U29" t="str">
        <f>VLOOKUP(A29,Emp_Info!$B$1:$G$101,3,0)</f>
        <v>ravi</v>
      </c>
      <c r="V29" t="str">
        <f>_xlfn.XLOOKUP(A29,Emp_Info!$B$2:$B$101,Emp_Info!$A$2:$A$101,,0)</f>
        <v>shetty</v>
      </c>
      <c r="W29" s="3" t="str">
        <f t="shared" si="1"/>
        <v>Ravi Shetty</v>
      </c>
      <c r="X29" t="str">
        <f t="shared" si="2"/>
        <v>RS031</v>
      </c>
      <c r="Y29" t="str">
        <f>HLOOKUP(F29,Dept_Info!$A$2:$I$3,2,0)</f>
        <v>Sales</v>
      </c>
      <c r="Z29">
        <f t="shared" si="3"/>
        <v>1101700</v>
      </c>
      <c r="AA29" t="str">
        <f t="shared" si="4"/>
        <v>Medium</v>
      </c>
      <c r="AB29" t="s">
        <v>263</v>
      </c>
      <c r="AC29" t="str">
        <f>INDEX(Emp_Info!$B$1:$G$101,MATCH(HR_Data!$A89,Emp_Info!$B$2:$B$101,0),MATCH(HR_Data!AC$1,Emp_Info!$B$1:$G$1,0))</f>
        <v>Bachelor</v>
      </c>
      <c r="AD29" t="str">
        <f>INDEX(Emp_Info!$A$1:$G$101,MATCH(HR_Data!$A29,Emp_Info!$B$1:$B$101,0),MATCH(HR_Data!AD$1,Emp_Info!$A$1:$G$1,0))</f>
        <v>Bangalore</v>
      </c>
      <c r="AE29" t="str">
        <f>INDEX(Emp_Info!$A$1:$G$101,MATCH(HR_Data!$A29,Emp_Info!$B$1:$B$101,0),MATCH(HR_Data!AE$1,Emp_Info!$A$1:$G$1,0))</f>
        <v>South</v>
      </c>
      <c r="AF29" t="str">
        <f t="shared" si="5"/>
        <v>Not Eligible</v>
      </c>
    </row>
    <row r="30" spans="1:32" x14ac:dyDescent="0.35">
      <c r="A30" s="1" t="s">
        <v>91</v>
      </c>
      <c r="B30" s="5">
        <v>31871</v>
      </c>
      <c r="C30" s="1">
        <v>37</v>
      </c>
      <c r="D30" s="5">
        <v>42655</v>
      </c>
      <c r="E30" s="1" t="s">
        <v>42</v>
      </c>
      <c r="F30" s="1" t="s">
        <v>58</v>
      </c>
      <c r="G30" s="1" t="s">
        <v>92</v>
      </c>
      <c r="H30" s="1" t="s">
        <v>25</v>
      </c>
      <c r="I30" s="1" t="s">
        <v>61</v>
      </c>
      <c r="J30" s="6">
        <v>870000</v>
      </c>
      <c r="K30" s="7">
        <v>85000</v>
      </c>
      <c r="L30" s="7">
        <f t="shared" si="0"/>
        <v>955000</v>
      </c>
      <c r="M30" s="1">
        <v>14</v>
      </c>
      <c r="N30" s="8">
        <v>4.3</v>
      </c>
      <c r="O30" s="9">
        <v>98.1</v>
      </c>
      <c r="P30" s="1">
        <v>3</v>
      </c>
      <c r="Q30" s="1" t="s">
        <v>30</v>
      </c>
      <c r="R30" s="1" t="s">
        <v>31</v>
      </c>
      <c r="S30" s="5">
        <v>44489</v>
      </c>
      <c r="T30" s="1" t="s">
        <v>32</v>
      </c>
      <c r="U30" t="str">
        <f>VLOOKUP(A30,Emp_Info!$B$1:$G$101,3,0)</f>
        <v>sanjay</v>
      </c>
      <c r="V30" t="str">
        <f>_xlfn.XLOOKUP(A30,Emp_Info!$B$2:$B$101,Emp_Info!$A$2:$A$101,,0)</f>
        <v>pillai</v>
      </c>
      <c r="W30" s="3" t="str">
        <f t="shared" si="1"/>
        <v>Sanjay Pillai</v>
      </c>
      <c r="X30" t="str">
        <f t="shared" si="2"/>
        <v>SP017</v>
      </c>
      <c r="Y30" t="str">
        <f>HLOOKUP(F30,Dept_Info!$A$2:$I$3,2,0)</f>
        <v>Marketing</v>
      </c>
      <c r="Z30">
        <f t="shared" si="3"/>
        <v>955000</v>
      </c>
      <c r="AA30" t="str">
        <f t="shared" si="4"/>
        <v>Medium</v>
      </c>
      <c r="AB30" t="s">
        <v>263</v>
      </c>
      <c r="AC30" t="str">
        <f>INDEX(Emp_Info!$B$1:$G$101,MATCH(HR_Data!$A77,Emp_Info!$B$2:$B$101,0),MATCH(HR_Data!AC$1,Emp_Info!$B$1:$G$1,0))</f>
        <v>Bachelor</v>
      </c>
      <c r="AD30" t="str">
        <f>INDEX(Emp_Info!$A$1:$G$101,MATCH(HR_Data!$A30,Emp_Info!$B$1:$B$101,0),MATCH(HR_Data!AD$1,Emp_Info!$A$1:$G$1,0))</f>
        <v>Chennai</v>
      </c>
      <c r="AE30" t="str">
        <f>INDEX(Emp_Info!$A$1:$G$101,MATCH(HR_Data!$A30,Emp_Info!$B$1:$B$101,0),MATCH(HR_Data!AE$1,Emp_Info!$A$1:$G$1,0))</f>
        <v>South</v>
      </c>
      <c r="AF30" t="str">
        <f t="shared" si="5"/>
        <v>Eligible</v>
      </c>
    </row>
    <row r="31" spans="1:32" x14ac:dyDescent="0.35">
      <c r="A31" s="1" t="s">
        <v>219</v>
      </c>
      <c r="B31" s="5">
        <v>31718</v>
      </c>
      <c r="C31" s="1">
        <v>38</v>
      </c>
      <c r="D31" s="5">
        <v>42515</v>
      </c>
      <c r="E31" s="1" t="s">
        <v>34</v>
      </c>
      <c r="F31" s="1" t="s">
        <v>43</v>
      </c>
      <c r="G31" s="1" t="s">
        <v>220</v>
      </c>
      <c r="H31" s="1" t="s">
        <v>25</v>
      </c>
      <c r="I31" s="1" t="s">
        <v>47</v>
      </c>
      <c r="J31" s="6">
        <v>860000</v>
      </c>
      <c r="K31" s="7">
        <v>82000</v>
      </c>
      <c r="L31" s="7">
        <f t="shared" si="0"/>
        <v>942000</v>
      </c>
      <c r="M31" s="1">
        <v>16</v>
      </c>
      <c r="N31" s="8">
        <v>4.3</v>
      </c>
      <c r="O31" s="9">
        <v>97.1</v>
      </c>
      <c r="P31" s="1">
        <v>3</v>
      </c>
      <c r="Q31" s="1" t="s">
        <v>48</v>
      </c>
      <c r="R31" s="1" t="s">
        <v>31</v>
      </c>
      <c r="S31" s="5">
        <v>44326</v>
      </c>
      <c r="T31" s="1" t="s">
        <v>32</v>
      </c>
      <c r="U31" t="str">
        <f>VLOOKUP(A31,Emp_Info!$B$1:$G$101,3,0)</f>
        <v>sachin</v>
      </c>
      <c r="V31" t="str">
        <f>_xlfn.XLOOKUP(A31,Emp_Info!$B$2:$B$101,Emp_Info!$A$2:$A$101,,0)</f>
        <v>desai</v>
      </c>
      <c r="W31" s="3" t="str">
        <f t="shared" si="1"/>
        <v>Sachin Desai</v>
      </c>
      <c r="X31" t="str">
        <f t="shared" si="2"/>
        <v>SD081</v>
      </c>
      <c r="Y31" t="str">
        <f>HLOOKUP(F31,Dept_Info!$A$2:$I$3,2,0)</f>
        <v>Finance</v>
      </c>
      <c r="Z31">
        <f t="shared" si="3"/>
        <v>942000</v>
      </c>
      <c r="AA31" t="str">
        <f t="shared" si="4"/>
        <v>Medium</v>
      </c>
      <c r="AB31" t="s">
        <v>263</v>
      </c>
      <c r="AC31" t="str">
        <f>INDEX(Emp_Info!$B$1:$G$101,MATCH(HR_Data!$A22,Emp_Info!$B$2:$B$101,0),MATCH(HR_Data!AC$1,Emp_Info!$B$1:$G$1,0))</f>
        <v>Bachelor</v>
      </c>
      <c r="AD31" t="str">
        <f>INDEX(Emp_Info!$A$1:$G$101,MATCH(HR_Data!$A31,Emp_Info!$B$1:$B$101,0),MATCH(HR_Data!AD$1,Emp_Info!$A$1:$G$1,0))</f>
        <v>Mumbai</v>
      </c>
      <c r="AE31" t="str">
        <f>INDEX(Emp_Info!$A$1:$G$101,MATCH(HR_Data!$A31,Emp_Info!$B$1:$B$101,0),MATCH(HR_Data!AE$1,Emp_Info!$A$1:$G$1,0))</f>
        <v>West</v>
      </c>
      <c r="AF31" t="str">
        <f t="shared" si="5"/>
        <v>Eligible</v>
      </c>
    </row>
    <row r="32" spans="1:32" x14ac:dyDescent="0.35">
      <c r="A32" s="1" t="s">
        <v>21</v>
      </c>
      <c r="B32" s="5">
        <v>31121</v>
      </c>
      <c r="C32" s="1">
        <v>39</v>
      </c>
      <c r="D32" s="5">
        <v>43191</v>
      </c>
      <c r="E32" s="1" t="s">
        <v>22</v>
      </c>
      <c r="F32" s="1" t="s">
        <v>23</v>
      </c>
      <c r="G32" s="1" t="s">
        <v>24</v>
      </c>
      <c r="H32" s="1" t="s">
        <v>25</v>
      </c>
      <c r="I32" s="1" t="s">
        <v>28</v>
      </c>
      <c r="J32" s="6">
        <v>850000</v>
      </c>
      <c r="K32" s="7">
        <v>85000</v>
      </c>
      <c r="L32" s="7">
        <f t="shared" si="0"/>
        <v>935000</v>
      </c>
      <c r="M32" s="1">
        <v>12</v>
      </c>
      <c r="N32" s="8">
        <v>4.2</v>
      </c>
      <c r="O32" s="9">
        <v>96.5</v>
      </c>
      <c r="P32" s="1">
        <v>3</v>
      </c>
      <c r="Q32" s="1" t="s">
        <v>30</v>
      </c>
      <c r="R32" s="1" t="s">
        <v>31</v>
      </c>
      <c r="S32" s="5">
        <v>44666</v>
      </c>
      <c r="T32" s="1" t="s">
        <v>32</v>
      </c>
      <c r="U32" t="str">
        <f>VLOOKUP(A32,Emp_Info!$B$1:$G$101,3,0)</f>
        <v>rajesh</v>
      </c>
      <c r="V32" t="str">
        <f>_xlfn.XLOOKUP(A32,Emp_Info!$B$2:$B$101,Emp_Info!$A$2:$A$101,,0)</f>
        <v>kumar</v>
      </c>
      <c r="W32" s="3" t="str">
        <f t="shared" si="1"/>
        <v>Rajesh Kumar</v>
      </c>
      <c r="X32" t="str">
        <f t="shared" si="2"/>
        <v>RK001</v>
      </c>
      <c r="Y32" t="str">
        <f>HLOOKUP(F32,Dept_Info!$A$2:$I$3,2,0)</f>
        <v>IT</v>
      </c>
      <c r="Z32">
        <f t="shared" si="3"/>
        <v>935000</v>
      </c>
      <c r="AA32" t="str">
        <f t="shared" si="4"/>
        <v>Medium</v>
      </c>
      <c r="AB32" t="s">
        <v>263</v>
      </c>
      <c r="AC32" t="str">
        <f>INDEX(Emp_Info!$B$1:$G$101,MATCH(HR_Data!$A54,Emp_Info!$B$2:$B$101,0),MATCH(HR_Data!AC$1,Emp_Info!$B$1:$G$1,0))</f>
        <v>Bachelor</v>
      </c>
      <c r="AD32" t="str">
        <f>INDEX(Emp_Info!$A$1:$G$101,MATCH(HR_Data!$A32,Emp_Info!$B$1:$B$101,0),MATCH(HR_Data!AD$1,Emp_Info!$A$1:$G$1,0))</f>
        <v>Mumbai</v>
      </c>
      <c r="AE32" t="str">
        <f>INDEX(Emp_Info!$A$1:$G$101,MATCH(HR_Data!$A32,Emp_Info!$B$1:$B$101,0),MATCH(HR_Data!AE$1,Emp_Info!$A$1:$G$1,0))</f>
        <v>West</v>
      </c>
      <c r="AF32" t="str">
        <f t="shared" si="5"/>
        <v>Eligible</v>
      </c>
    </row>
    <row r="33" spans="1:32" x14ac:dyDescent="0.35">
      <c r="A33" s="1" t="s">
        <v>235</v>
      </c>
      <c r="B33" s="5">
        <v>31727</v>
      </c>
      <c r="C33" s="1">
        <v>38</v>
      </c>
      <c r="D33" s="5">
        <v>42464</v>
      </c>
      <c r="E33" s="1" t="s">
        <v>22</v>
      </c>
      <c r="F33" s="1" t="s">
        <v>58</v>
      </c>
      <c r="G33" s="1" t="s">
        <v>236</v>
      </c>
      <c r="H33" s="1" t="s">
        <v>25</v>
      </c>
      <c r="I33" s="1" t="s">
        <v>61</v>
      </c>
      <c r="J33" s="6">
        <v>850000</v>
      </c>
      <c r="K33" s="7">
        <v>82000</v>
      </c>
      <c r="L33" s="7">
        <f t="shared" si="0"/>
        <v>932000</v>
      </c>
      <c r="M33" s="1">
        <v>16</v>
      </c>
      <c r="N33" s="8">
        <v>4.3</v>
      </c>
      <c r="O33" s="9">
        <v>97.7</v>
      </c>
      <c r="P33" s="1">
        <v>3</v>
      </c>
      <c r="Q33" s="1" t="s">
        <v>48</v>
      </c>
      <c r="R33" s="1" t="s">
        <v>31</v>
      </c>
      <c r="S33" s="5">
        <v>44301</v>
      </c>
      <c r="T33" s="1" t="s">
        <v>32</v>
      </c>
      <c r="U33" t="str">
        <f>VLOOKUP(A33,Emp_Info!$B$1:$G$101,3,0)</f>
        <v>akash</v>
      </c>
      <c r="V33" t="str">
        <f>_xlfn.XLOOKUP(A33,Emp_Info!$B$2:$B$101,Emp_Info!$A$2:$A$101,,0)</f>
        <v>yadav</v>
      </c>
      <c r="W33" s="3" t="str">
        <f t="shared" si="1"/>
        <v>Akash Yadav</v>
      </c>
      <c r="X33" t="str">
        <f t="shared" si="2"/>
        <v>AY089</v>
      </c>
      <c r="Y33" t="str">
        <f>HLOOKUP(F33,Dept_Info!$A$2:$I$3,2,0)</f>
        <v>Marketing</v>
      </c>
      <c r="Z33">
        <f t="shared" si="3"/>
        <v>932000</v>
      </c>
      <c r="AA33" t="str">
        <f t="shared" si="4"/>
        <v>Medium</v>
      </c>
      <c r="AB33" t="s">
        <v>263</v>
      </c>
      <c r="AC33" t="str">
        <f>INDEX(Emp_Info!$B$1:$G$101,MATCH(HR_Data!$A72,Emp_Info!$B$2:$B$101,0),MATCH(HR_Data!AC$1,Emp_Info!$B$1:$G$1,0))</f>
        <v>Bachelor</v>
      </c>
      <c r="AD33" t="str">
        <f>INDEX(Emp_Info!$A$1:$G$101,MATCH(HR_Data!$A33,Emp_Info!$B$1:$B$101,0),MATCH(HR_Data!AD$1,Emp_Info!$A$1:$G$1,0))</f>
        <v>Noida</v>
      </c>
      <c r="AE33" t="str">
        <f>INDEX(Emp_Info!$A$1:$G$101,MATCH(HR_Data!$A33,Emp_Info!$B$1:$B$101,0),MATCH(HR_Data!AE$1,Emp_Info!$A$1:$G$1,0))</f>
        <v>North</v>
      </c>
      <c r="AF33" t="str">
        <f t="shared" si="5"/>
        <v>Eligible</v>
      </c>
    </row>
    <row r="34" spans="1:32" x14ac:dyDescent="0.35">
      <c r="A34" s="1" t="s">
        <v>127</v>
      </c>
      <c r="B34" s="5">
        <v>32706</v>
      </c>
      <c r="C34" s="1">
        <v>35</v>
      </c>
      <c r="D34" s="5">
        <v>43233</v>
      </c>
      <c r="E34" s="1" t="s">
        <v>34</v>
      </c>
      <c r="F34" s="1" t="s">
        <v>58</v>
      </c>
      <c r="G34" s="1" t="s">
        <v>128</v>
      </c>
      <c r="H34" s="1" t="s">
        <v>25</v>
      </c>
      <c r="I34" s="1" t="s">
        <v>61</v>
      </c>
      <c r="J34" s="6">
        <v>850000</v>
      </c>
      <c r="K34" s="7">
        <v>82000</v>
      </c>
      <c r="L34" s="7">
        <f t="shared" ref="L34:L65" si="6">SUM(J34:K34)</f>
        <v>932000</v>
      </c>
      <c r="M34" s="1">
        <v>12</v>
      </c>
      <c r="N34" s="8">
        <v>4.3</v>
      </c>
      <c r="O34" s="9">
        <v>97.6</v>
      </c>
      <c r="P34" s="1">
        <v>3</v>
      </c>
      <c r="Q34" s="1" t="s">
        <v>30</v>
      </c>
      <c r="R34" s="1" t="s">
        <v>31</v>
      </c>
      <c r="S34" s="5">
        <v>45066</v>
      </c>
      <c r="T34" s="1" t="s">
        <v>32</v>
      </c>
      <c r="U34" t="str">
        <f>VLOOKUP(A34,Emp_Info!$B$1:$G$101,3,0)</f>
        <v>manish</v>
      </c>
      <c r="V34" t="str">
        <f>_xlfn.XLOOKUP(A34,Emp_Info!$B$2:$B$101,Emp_Info!$A$2:$A$101,,0)</f>
        <v>goyal</v>
      </c>
      <c r="W34" s="3" t="str">
        <f t="shared" ref="W34:W65" si="7">PROPER(_xlfn.CONCAT(U34," ",V34))</f>
        <v>Manish Goyal</v>
      </c>
      <c r="X34" t="str">
        <f t="shared" ref="X34:X65" si="8">UPPER(_xlfn.CONCAT(LEFT(U34),LEFT(V34),RIGHT(A34,3)))</f>
        <v>MG035</v>
      </c>
      <c r="Y34" t="str">
        <f>HLOOKUP(F34,Dept_Info!$A$2:$I$3,2,0)</f>
        <v>Marketing</v>
      </c>
      <c r="Z34">
        <f t="shared" ref="Z34:Z65" si="9">IF(Y34="Sales",L34+(L34*$AG$6),L34)</f>
        <v>932000</v>
      </c>
      <c r="AA34" t="str">
        <f t="shared" ref="AA34:AA65" si="10">IF(J34&lt;700000,"Low",IF(AND(J34&gt;700000,J34&lt;900000),"Medium","High"))</f>
        <v>Medium</v>
      </c>
      <c r="AB34" t="s">
        <v>263</v>
      </c>
      <c r="AC34" t="str">
        <f>INDEX(Emp_Info!$B$1:$G$101,MATCH(HR_Data!$A79,Emp_Info!$B$2:$B$101,0),MATCH(HR_Data!AC$1,Emp_Info!$B$1:$G$1,0))</f>
        <v>Bachelor</v>
      </c>
      <c r="AD34" t="str">
        <f>INDEX(Emp_Info!$A$1:$G$101,MATCH(HR_Data!$A34,Emp_Info!$B$1:$B$101,0),MATCH(HR_Data!AD$1,Emp_Info!$A$1:$G$1,0))</f>
        <v>Chennai</v>
      </c>
      <c r="AE34" t="str">
        <f>INDEX(Emp_Info!$A$1:$G$101,MATCH(HR_Data!$A34,Emp_Info!$B$1:$B$101,0),MATCH(HR_Data!AE$1,Emp_Info!$A$1:$G$1,0))</f>
        <v>South</v>
      </c>
      <c r="AF34" t="str">
        <f t="shared" ref="AF34:AF65" si="11">IF(AND(P34&gt;=3,M34&gt;6),"Eligible","Not Eligible")</f>
        <v>Eligible</v>
      </c>
    </row>
    <row r="35" spans="1:32" x14ac:dyDescent="0.35">
      <c r="A35" s="1" t="s">
        <v>247</v>
      </c>
      <c r="B35" s="5">
        <v>33110</v>
      </c>
      <c r="C35" s="1">
        <v>34</v>
      </c>
      <c r="D35" s="5">
        <v>43538</v>
      </c>
      <c r="E35" s="1" t="s">
        <v>22</v>
      </c>
      <c r="F35" s="1" t="s">
        <v>52</v>
      </c>
      <c r="G35" s="1" t="s">
        <v>248</v>
      </c>
      <c r="H35" s="1" t="s">
        <v>25</v>
      </c>
      <c r="I35" s="1" t="s">
        <v>55</v>
      </c>
      <c r="J35" s="6">
        <v>850000</v>
      </c>
      <c r="K35" s="7">
        <v>82000</v>
      </c>
      <c r="L35" s="7">
        <f t="shared" si="6"/>
        <v>932000</v>
      </c>
      <c r="M35" s="1">
        <v>10</v>
      </c>
      <c r="N35" s="8">
        <v>4.4000000000000004</v>
      </c>
      <c r="O35" s="9">
        <v>97.8</v>
      </c>
      <c r="P35" s="1">
        <v>3</v>
      </c>
      <c r="Q35" s="1" t="s">
        <v>30</v>
      </c>
      <c r="R35" s="1" t="s">
        <v>31</v>
      </c>
      <c r="S35" s="1" t="s">
        <v>50</v>
      </c>
      <c r="T35" s="1" t="s">
        <v>32</v>
      </c>
      <c r="U35" t="str">
        <f>VLOOKUP(A35,Emp_Info!$B$1:$G$101,3,0)</f>
        <v>puneet</v>
      </c>
      <c r="V35" t="str">
        <f>_xlfn.XLOOKUP(A35,Emp_Info!$B$2:$B$101,Emp_Info!$A$2:$A$101,,0)</f>
        <v>mehta</v>
      </c>
      <c r="W35" s="3" t="str">
        <f t="shared" si="7"/>
        <v>Puneet Mehta</v>
      </c>
      <c r="X35" t="str">
        <f t="shared" si="8"/>
        <v>PM095</v>
      </c>
      <c r="Y35" t="str">
        <f>HLOOKUP(F35,Dept_Info!$A$2:$I$3,2,0)</f>
        <v>Admin</v>
      </c>
      <c r="Z35">
        <f t="shared" si="9"/>
        <v>932000</v>
      </c>
      <c r="AA35" t="str">
        <f t="shared" si="10"/>
        <v>Medium</v>
      </c>
      <c r="AB35" t="s">
        <v>263</v>
      </c>
      <c r="AC35" t="str">
        <f>INDEX(Emp_Info!$B$1:$G$101,MATCH(HR_Data!$A2,Emp_Info!$B$2:$B$101,0),MATCH(HR_Data!AC$1,Emp_Info!$B$1:$G$1,0))</f>
        <v>Bachelor</v>
      </c>
      <c r="AD35" t="str">
        <f>INDEX(Emp_Info!$A$1:$G$101,MATCH(HR_Data!$A35,Emp_Info!$B$1:$B$101,0),MATCH(HR_Data!AD$1,Emp_Info!$A$1:$G$1,0))</f>
        <v>Hyderabad</v>
      </c>
      <c r="AE35" t="str">
        <f>INDEX(Emp_Info!$A$1:$G$101,MATCH(HR_Data!$A35,Emp_Info!$B$1:$B$101,0),MATCH(HR_Data!AE$1,Emp_Info!$A$1:$G$1,0))</f>
        <v>South</v>
      </c>
      <c r="AF35" t="str">
        <f t="shared" si="11"/>
        <v>Eligible</v>
      </c>
    </row>
    <row r="36" spans="1:32" x14ac:dyDescent="0.35">
      <c r="A36" s="1" t="s">
        <v>161</v>
      </c>
      <c r="B36" s="5">
        <v>33479</v>
      </c>
      <c r="C36" s="1">
        <v>33</v>
      </c>
      <c r="D36" s="5">
        <v>43636</v>
      </c>
      <c r="E36" s="1" t="s">
        <v>22</v>
      </c>
      <c r="F36" s="1" t="s">
        <v>35</v>
      </c>
      <c r="G36" s="1" t="s">
        <v>162</v>
      </c>
      <c r="H36" s="1" t="s">
        <v>25</v>
      </c>
      <c r="I36" s="1" t="s">
        <v>39</v>
      </c>
      <c r="J36" s="6">
        <v>850000</v>
      </c>
      <c r="K36" s="7">
        <v>82000</v>
      </c>
      <c r="L36" s="7">
        <f t="shared" si="6"/>
        <v>932000</v>
      </c>
      <c r="M36" s="1">
        <v>9</v>
      </c>
      <c r="N36" s="8">
        <v>4.4000000000000004</v>
      </c>
      <c r="O36" s="9">
        <v>97.8</v>
      </c>
      <c r="P36" s="1">
        <v>2</v>
      </c>
      <c r="Q36" s="1" t="s">
        <v>30</v>
      </c>
      <c r="R36" s="1" t="s">
        <v>31</v>
      </c>
      <c r="S36" s="5">
        <v>45092</v>
      </c>
      <c r="T36" s="1" t="s">
        <v>32</v>
      </c>
      <c r="U36" t="str">
        <f>VLOOKUP(A36,Emp_Info!$B$1:$G$101,3,0)</f>
        <v>aditi</v>
      </c>
      <c r="V36" t="str">
        <f>_xlfn.XLOOKUP(A36,Emp_Info!$B$2:$B$101,Emp_Info!$A$2:$A$101,,0)</f>
        <v>malhotra</v>
      </c>
      <c r="W36" s="3" t="str">
        <f t="shared" si="7"/>
        <v>Aditi Malhotra</v>
      </c>
      <c r="X36" t="str">
        <f t="shared" si="8"/>
        <v>AM052</v>
      </c>
      <c r="Y36" t="str">
        <f>HLOOKUP(F36,Dept_Info!$A$2:$I$3,2,0)</f>
        <v>HR</v>
      </c>
      <c r="Z36">
        <f t="shared" si="9"/>
        <v>932000</v>
      </c>
      <c r="AA36" t="str">
        <f t="shared" si="10"/>
        <v>Medium</v>
      </c>
      <c r="AB36" t="s">
        <v>264</v>
      </c>
      <c r="AC36" t="str">
        <f>INDEX(Emp_Info!$B$1:$G$101,MATCH(HR_Data!$A37,Emp_Info!$B$2:$B$101,0),MATCH(HR_Data!AC$1,Emp_Info!$B$1:$G$1,0))</f>
        <v>Bachelor</v>
      </c>
      <c r="AD36" t="str">
        <f>INDEX(Emp_Info!$A$1:$G$101,MATCH(HR_Data!$A36,Emp_Info!$B$1:$B$101,0),MATCH(HR_Data!AD$1,Emp_Info!$A$1:$G$1,0))</f>
        <v>Mumbai</v>
      </c>
      <c r="AE36" t="str">
        <f>INDEX(Emp_Info!$A$1:$G$101,MATCH(HR_Data!$A36,Emp_Info!$B$1:$B$101,0),MATCH(HR_Data!AE$1,Emp_Info!$A$1:$G$1,0))</f>
        <v>West</v>
      </c>
      <c r="AF36" t="str">
        <f t="shared" si="11"/>
        <v>Not Eligible</v>
      </c>
    </row>
    <row r="37" spans="1:32" x14ac:dyDescent="0.35">
      <c r="A37" s="1" t="s">
        <v>193</v>
      </c>
      <c r="B37" s="5">
        <v>33441</v>
      </c>
      <c r="C37" s="1">
        <v>33</v>
      </c>
      <c r="D37" s="5">
        <v>43756</v>
      </c>
      <c r="E37" s="1" t="s">
        <v>22</v>
      </c>
      <c r="F37" s="1" t="s">
        <v>23</v>
      </c>
      <c r="G37" s="1" t="s">
        <v>194</v>
      </c>
      <c r="H37" s="1" t="s">
        <v>25</v>
      </c>
      <c r="I37" s="1" t="s">
        <v>28</v>
      </c>
      <c r="J37" s="6">
        <v>850000</v>
      </c>
      <c r="K37" s="7">
        <v>82000</v>
      </c>
      <c r="L37" s="7">
        <f t="shared" si="6"/>
        <v>932000</v>
      </c>
      <c r="M37" s="1">
        <v>9</v>
      </c>
      <c r="N37" s="8">
        <v>4.4000000000000004</v>
      </c>
      <c r="O37" s="9">
        <v>97.7</v>
      </c>
      <c r="P37" s="1">
        <v>3</v>
      </c>
      <c r="Q37" s="1" t="s">
        <v>30</v>
      </c>
      <c r="R37" s="1" t="s">
        <v>31</v>
      </c>
      <c r="S37" s="1" t="s">
        <v>50</v>
      </c>
      <c r="T37" s="1" t="s">
        <v>32</v>
      </c>
      <c r="U37" t="str">
        <f>VLOOKUP(A37,Emp_Info!$B$1:$G$101,3,0)</f>
        <v>rashmi</v>
      </c>
      <c r="V37" t="str">
        <f>_xlfn.XLOOKUP(A37,Emp_Info!$B$2:$B$101,Emp_Info!$A$2:$A$101,,0)</f>
        <v>kapoor</v>
      </c>
      <c r="W37" s="3" t="str">
        <f t="shared" si="7"/>
        <v>Rashmi Kapoor</v>
      </c>
      <c r="X37" t="str">
        <f t="shared" si="8"/>
        <v>RK068</v>
      </c>
      <c r="Y37" t="str">
        <f>HLOOKUP(F37,Dept_Info!$A$2:$I$3,2,0)</f>
        <v>IT</v>
      </c>
      <c r="Z37">
        <f t="shared" si="9"/>
        <v>932000</v>
      </c>
      <c r="AA37" t="str">
        <f t="shared" si="10"/>
        <v>Medium</v>
      </c>
      <c r="AB37" t="s">
        <v>264</v>
      </c>
      <c r="AC37" t="str">
        <f>INDEX(Emp_Info!$B$1:$G$101,MATCH(HR_Data!$A58,Emp_Info!$B$2:$B$101,0),MATCH(HR_Data!AC$1,Emp_Info!$B$1:$G$1,0))</f>
        <v>Bachelor</v>
      </c>
      <c r="AD37" t="str">
        <f>INDEX(Emp_Info!$A$1:$G$101,MATCH(HR_Data!$A37,Emp_Info!$B$1:$B$101,0),MATCH(HR_Data!AD$1,Emp_Info!$A$1:$G$1,0))</f>
        <v>Bangalore</v>
      </c>
      <c r="AE37" t="str">
        <f>INDEX(Emp_Info!$A$1:$G$101,MATCH(HR_Data!$A37,Emp_Info!$B$1:$B$101,0),MATCH(HR_Data!AE$1,Emp_Info!$A$1:$G$1,0))</f>
        <v>South</v>
      </c>
      <c r="AF37" t="str">
        <f t="shared" si="11"/>
        <v>Eligible</v>
      </c>
    </row>
    <row r="38" spans="1:32" x14ac:dyDescent="0.35">
      <c r="A38" s="1" t="s">
        <v>227</v>
      </c>
      <c r="B38" s="5">
        <v>33045</v>
      </c>
      <c r="C38" s="1">
        <v>34</v>
      </c>
      <c r="D38" s="5">
        <v>43476</v>
      </c>
      <c r="E38" s="1" t="s">
        <v>22</v>
      </c>
      <c r="F38" s="1" t="s">
        <v>65</v>
      </c>
      <c r="G38" s="1" t="s">
        <v>228</v>
      </c>
      <c r="H38" s="1" t="s">
        <v>25</v>
      </c>
      <c r="I38" s="1" t="s">
        <v>67</v>
      </c>
      <c r="J38" s="6">
        <v>840000</v>
      </c>
      <c r="K38" s="7">
        <v>88000</v>
      </c>
      <c r="L38" s="7">
        <f t="shared" si="6"/>
        <v>928000</v>
      </c>
      <c r="M38" s="1">
        <v>10</v>
      </c>
      <c r="N38" s="8">
        <v>4.3</v>
      </c>
      <c r="O38" s="9">
        <v>97</v>
      </c>
      <c r="P38" s="1">
        <v>2</v>
      </c>
      <c r="Q38" s="1" t="s">
        <v>30</v>
      </c>
      <c r="R38" s="1" t="s">
        <v>31</v>
      </c>
      <c r="S38" s="5">
        <v>44946</v>
      </c>
      <c r="T38" s="1" t="s">
        <v>32</v>
      </c>
      <c r="U38" t="str">
        <f>VLOOKUP(A38,Emp_Info!$B$1:$G$101,3,0)</f>
        <v>anuj</v>
      </c>
      <c r="V38" t="str">
        <f>_xlfn.XLOOKUP(A38,Emp_Info!$B$2:$B$101,Emp_Info!$A$2:$A$101,,0)</f>
        <v>sinha</v>
      </c>
      <c r="W38" s="3" t="str">
        <f t="shared" si="7"/>
        <v>Anuj Sinha</v>
      </c>
      <c r="X38" t="str">
        <f t="shared" si="8"/>
        <v>AS085</v>
      </c>
      <c r="Y38" t="str">
        <f>HLOOKUP(F38,Dept_Info!$A$2:$I$3,2,0)</f>
        <v>Sales</v>
      </c>
      <c r="Z38">
        <f t="shared" si="9"/>
        <v>1067200</v>
      </c>
      <c r="AA38" t="str">
        <f t="shared" si="10"/>
        <v>Medium</v>
      </c>
      <c r="AB38" t="s">
        <v>263</v>
      </c>
      <c r="AC38" t="str">
        <f>INDEX(Emp_Info!$B$1:$G$101,MATCH(HR_Data!$A98,Emp_Info!$B$2:$B$101,0),MATCH(HR_Data!AC$1,Emp_Info!$B$1:$G$1,0))</f>
        <v>Bachelor</v>
      </c>
      <c r="AD38" t="str">
        <f>INDEX(Emp_Info!$A$1:$G$101,MATCH(HR_Data!$A38,Emp_Info!$B$1:$B$101,0),MATCH(HR_Data!AD$1,Emp_Info!$A$1:$G$1,0))</f>
        <v>Delhi</v>
      </c>
      <c r="AE38" t="str">
        <f>INDEX(Emp_Info!$A$1:$G$101,MATCH(HR_Data!$A38,Emp_Info!$B$1:$B$101,0),MATCH(HR_Data!AE$1,Emp_Info!$A$1:$G$1,0))</f>
        <v>North</v>
      </c>
      <c r="AF38" t="str">
        <f t="shared" si="11"/>
        <v>Not Eligible</v>
      </c>
    </row>
    <row r="39" spans="1:32" x14ac:dyDescent="0.35">
      <c r="A39" s="1" t="s">
        <v>143</v>
      </c>
      <c r="B39" s="5">
        <v>31796</v>
      </c>
      <c r="C39" s="1">
        <v>37</v>
      </c>
      <c r="D39" s="5">
        <v>42408</v>
      </c>
      <c r="E39" s="1" t="s">
        <v>34</v>
      </c>
      <c r="F39" s="1" t="s">
        <v>65</v>
      </c>
      <c r="G39" s="1" t="s">
        <v>144</v>
      </c>
      <c r="H39" s="1" t="s">
        <v>25</v>
      </c>
      <c r="I39" s="1" t="s">
        <v>67</v>
      </c>
      <c r="J39" s="6">
        <v>830000</v>
      </c>
      <c r="K39" s="7">
        <v>92000</v>
      </c>
      <c r="L39" s="7">
        <f t="shared" si="6"/>
        <v>922000</v>
      </c>
      <c r="M39" s="1">
        <v>15</v>
      </c>
      <c r="N39" s="8">
        <v>4.3</v>
      </c>
      <c r="O39" s="9">
        <v>97.1</v>
      </c>
      <c r="P39" s="1">
        <v>2</v>
      </c>
      <c r="Q39" s="1" t="s">
        <v>30</v>
      </c>
      <c r="R39" s="1" t="s">
        <v>31</v>
      </c>
      <c r="S39" s="5">
        <v>44242</v>
      </c>
      <c r="T39" s="1" t="s">
        <v>32</v>
      </c>
      <c r="U39" t="str">
        <f>VLOOKUP(A39,Emp_Info!$B$1:$G$101,3,0)</f>
        <v>harish</v>
      </c>
      <c r="V39" t="str">
        <f>_xlfn.XLOOKUP(A39,Emp_Info!$B$2:$B$101,Emp_Info!$A$2:$A$101,,0)</f>
        <v>menon</v>
      </c>
      <c r="W39" s="3" t="str">
        <f t="shared" si="7"/>
        <v>Harish Menon</v>
      </c>
      <c r="X39" t="str">
        <f t="shared" si="8"/>
        <v>HM043</v>
      </c>
      <c r="Y39" t="str">
        <f>HLOOKUP(F39,Dept_Info!$A$2:$I$3,2,0)</f>
        <v>Sales</v>
      </c>
      <c r="Z39">
        <f t="shared" si="9"/>
        <v>1060300</v>
      </c>
      <c r="AA39" t="str">
        <f t="shared" si="10"/>
        <v>Medium</v>
      </c>
      <c r="AB39" t="s">
        <v>263</v>
      </c>
      <c r="AC39" t="str">
        <f>INDEX(Emp_Info!$B$1:$G$101,MATCH(HR_Data!$A88,Emp_Info!$B$2:$B$101,0),MATCH(HR_Data!AC$1,Emp_Info!$B$1:$G$1,0))</f>
        <v>Master</v>
      </c>
      <c r="AD39" t="str">
        <f>INDEX(Emp_Info!$A$1:$G$101,MATCH(HR_Data!$A39,Emp_Info!$B$1:$B$101,0),MATCH(HR_Data!AD$1,Emp_Info!$A$1:$G$1,0))</f>
        <v>Chennai</v>
      </c>
      <c r="AE39" t="str">
        <f>INDEX(Emp_Info!$A$1:$G$101,MATCH(HR_Data!$A39,Emp_Info!$B$1:$B$101,0),MATCH(HR_Data!AE$1,Emp_Info!$A$1:$G$1,0))</f>
        <v>South</v>
      </c>
      <c r="AF39" t="str">
        <f t="shared" si="11"/>
        <v>Not Eligible</v>
      </c>
    </row>
    <row r="40" spans="1:32" x14ac:dyDescent="0.35">
      <c r="A40" s="1" t="s">
        <v>83</v>
      </c>
      <c r="B40" s="5">
        <v>33204</v>
      </c>
      <c r="C40" s="1">
        <v>34</v>
      </c>
      <c r="D40" s="5">
        <v>43306</v>
      </c>
      <c r="E40" s="1" t="s">
        <v>22</v>
      </c>
      <c r="F40" s="1" t="s">
        <v>65</v>
      </c>
      <c r="G40" s="1" t="s">
        <v>84</v>
      </c>
      <c r="H40" s="1" t="s">
        <v>25</v>
      </c>
      <c r="I40" s="1" t="s">
        <v>67</v>
      </c>
      <c r="J40" s="6">
        <v>810000</v>
      </c>
      <c r="K40" s="7">
        <v>95000</v>
      </c>
      <c r="L40" s="7">
        <f t="shared" si="6"/>
        <v>905000</v>
      </c>
      <c r="M40" s="1">
        <v>10</v>
      </c>
      <c r="N40" s="8">
        <v>4.2</v>
      </c>
      <c r="O40" s="9">
        <v>95.5</v>
      </c>
      <c r="P40" s="1">
        <v>2</v>
      </c>
      <c r="Q40" s="1" t="s">
        <v>30</v>
      </c>
      <c r="R40" s="1" t="s">
        <v>49</v>
      </c>
      <c r="S40" s="1" t="s">
        <v>50</v>
      </c>
      <c r="T40" s="1" t="s">
        <v>32</v>
      </c>
      <c r="U40" t="str">
        <f>VLOOKUP(A40,Emp_Info!$B$1:$G$101,3,0)</f>
        <v>arjun</v>
      </c>
      <c r="V40" t="str">
        <f>_xlfn.XLOOKUP(A40,Emp_Info!$B$2:$B$101,Emp_Info!$A$2:$A$101,,0)</f>
        <v>rao</v>
      </c>
      <c r="W40" s="3" t="str">
        <f t="shared" si="7"/>
        <v>Arjun Rao</v>
      </c>
      <c r="X40" t="str">
        <f t="shared" si="8"/>
        <v>AR013</v>
      </c>
      <c r="Y40" t="str">
        <f>HLOOKUP(F40,Dept_Info!$A$2:$I$3,2,0)</f>
        <v>Sales</v>
      </c>
      <c r="Z40">
        <f t="shared" si="9"/>
        <v>1040750</v>
      </c>
      <c r="AA40" t="str">
        <f t="shared" si="10"/>
        <v>Medium</v>
      </c>
      <c r="AB40" t="s">
        <v>263</v>
      </c>
      <c r="AC40" t="str">
        <f>INDEX(Emp_Info!$B$1:$G$101,MATCH(HR_Data!$A96,Emp_Info!$B$2:$B$101,0),MATCH(HR_Data!AC$1,Emp_Info!$B$1:$G$1,0))</f>
        <v>Bachelor</v>
      </c>
      <c r="AD40" t="str">
        <f>INDEX(Emp_Info!$A$1:$G$101,MATCH(HR_Data!$A40,Emp_Info!$B$1:$B$101,0),MATCH(HR_Data!AD$1,Emp_Info!$A$1:$G$1,0))</f>
        <v>Hyderabad</v>
      </c>
      <c r="AE40" t="str">
        <f>INDEX(Emp_Info!$A$1:$G$101,MATCH(HR_Data!$A40,Emp_Info!$B$1:$B$101,0),MATCH(HR_Data!AE$1,Emp_Info!$A$1:$G$1,0))</f>
        <v>South</v>
      </c>
      <c r="AF40" t="str">
        <f t="shared" si="11"/>
        <v>Not Eligible</v>
      </c>
    </row>
    <row r="41" spans="1:32" x14ac:dyDescent="0.35">
      <c r="A41" s="1" t="s">
        <v>123</v>
      </c>
      <c r="B41" s="5">
        <v>31343</v>
      </c>
      <c r="C41" s="1">
        <v>39</v>
      </c>
      <c r="D41" s="5">
        <v>42277</v>
      </c>
      <c r="E41" s="1" t="s">
        <v>42</v>
      </c>
      <c r="F41" s="1" t="s">
        <v>43</v>
      </c>
      <c r="G41" s="1" t="s">
        <v>124</v>
      </c>
      <c r="H41" s="1" t="s">
        <v>25</v>
      </c>
      <c r="I41" s="1" t="s">
        <v>47</v>
      </c>
      <c r="J41" s="6">
        <v>820000</v>
      </c>
      <c r="K41" s="7">
        <v>78000</v>
      </c>
      <c r="L41" s="7">
        <f t="shared" si="6"/>
        <v>898000</v>
      </c>
      <c r="M41" s="1">
        <v>17</v>
      </c>
      <c r="N41" s="8">
        <v>4.0999999999999996</v>
      </c>
      <c r="O41" s="9">
        <v>96.1</v>
      </c>
      <c r="P41" s="1">
        <v>2</v>
      </c>
      <c r="Q41" s="1" t="s">
        <v>48</v>
      </c>
      <c r="R41" s="1" t="s">
        <v>31</v>
      </c>
      <c r="S41" s="5">
        <v>44084</v>
      </c>
      <c r="T41" s="1" t="s">
        <v>32</v>
      </c>
      <c r="U41" t="str">
        <f>VLOOKUP(A41,Emp_Info!$B$1:$G$101,3,0)</f>
        <v>prakash</v>
      </c>
      <c r="V41" t="str">
        <f>_xlfn.XLOOKUP(A41,Emp_Info!$B$2:$B$101,Emp_Info!$A$2:$A$101,,0)</f>
        <v>reddy</v>
      </c>
      <c r="W41" s="3" t="str">
        <f t="shared" si="7"/>
        <v>Prakash Reddy</v>
      </c>
      <c r="X41" t="str">
        <f t="shared" si="8"/>
        <v>PR033</v>
      </c>
      <c r="Y41" t="str">
        <f>HLOOKUP(F41,Dept_Info!$A$2:$I$3,2,0)</f>
        <v>Finance</v>
      </c>
      <c r="Z41">
        <f t="shared" si="9"/>
        <v>898000</v>
      </c>
      <c r="AA41" t="str">
        <f t="shared" si="10"/>
        <v>Medium</v>
      </c>
      <c r="AB41" t="s">
        <v>263</v>
      </c>
      <c r="AC41" t="str">
        <f>INDEX(Emp_Info!$B$1:$G$101,MATCH(HR_Data!$A19,Emp_Info!$B$2:$B$101,0),MATCH(HR_Data!AC$1,Emp_Info!$B$1:$G$1,0))</f>
        <v>Master</v>
      </c>
      <c r="AD41" t="str">
        <f>INDEX(Emp_Info!$A$1:$G$101,MATCH(HR_Data!$A41,Emp_Info!$B$1:$B$101,0),MATCH(HR_Data!AD$1,Emp_Info!$A$1:$G$1,0))</f>
        <v>Hyderabad</v>
      </c>
      <c r="AE41" t="str">
        <f>INDEX(Emp_Info!$A$1:$G$101,MATCH(HR_Data!$A41,Emp_Info!$B$1:$B$101,0),MATCH(HR_Data!AE$1,Emp_Info!$A$1:$G$1,0))</f>
        <v>South</v>
      </c>
      <c r="AF41" t="str">
        <f t="shared" si="11"/>
        <v>Not Eligible</v>
      </c>
    </row>
    <row r="42" spans="1:32" x14ac:dyDescent="0.35">
      <c r="A42" s="1" t="s">
        <v>167</v>
      </c>
      <c r="B42" s="5">
        <v>31964</v>
      </c>
      <c r="C42" s="1">
        <v>37</v>
      </c>
      <c r="D42" s="5">
        <v>42686</v>
      </c>
      <c r="E42" s="1" t="s">
        <v>42</v>
      </c>
      <c r="F42" s="1" t="s">
        <v>23</v>
      </c>
      <c r="G42" s="1" t="s">
        <v>168</v>
      </c>
      <c r="H42" s="1" t="s">
        <v>25</v>
      </c>
      <c r="I42" s="1" t="s">
        <v>28</v>
      </c>
      <c r="J42" s="6">
        <v>820000</v>
      </c>
      <c r="K42" s="7">
        <v>78000</v>
      </c>
      <c r="L42" s="7">
        <f t="shared" si="6"/>
        <v>898000</v>
      </c>
      <c r="M42" s="1">
        <v>15</v>
      </c>
      <c r="N42" s="8">
        <v>4.2</v>
      </c>
      <c r="O42" s="9">
        <v>96.8</v>
      </c>
      <c r="P42" s="1">
        <v>3</v>
      </c>
      <c r="Q42" s="1" t="s">
        <v>30</v>
      </c>
      <c r="R42" s="1" t="s">
        <v>31</v>
      </c>
      <c r="S42" s="5">
        <v>44525</v>
      </c>
      <c r="T42" s="1" t="s">
        <v>32</v>
      </c>
      <c r="U42" t="str">
        <f>VLOOKUP(A42,Emp_Info!$B$1:$G$101,3,0)</f>
        <v>karthik</v>
      </c>
      <c r="V42" t="str">
        <f>_xlfn.XLOOKUP(A42,Emp_Info!$B$2:$B$101,Emp_Info!$A$2:$A$101,,0)</f>
        <v>reddy</v>
      </c>
      <c r="W42" s="3" t="str">
        <f t="shared" si="7"/>
        <v>Karthik Reddy</v>
      </c>
      <c r="X42" t="str">
        <f t="shared" si="8"/>
        <v>KR055</v>
      </c>
      <c r="Y42" t="str">
        <f>HLOOKUP(F42,Dept_Info!$A$2:$I$3,2,0)</f>
        <v>IT</v>
      </c>
      <c r="Z42">
        <f t="shared" si="9"/>
        <v>898000</v>
      </c>
      <c r="AA42" t="str">
        <f t="shared" si="10"/>
        <v>Medium</v>
      </c>
      <c r="AB42" t="s">
        <v>263</v>
      </c>
      <c r="AC42" t="str">
        <f>INDEX(Emp_Info!$B$1:$G$101,MATCH(HR_Data!$A51,Emp_Info!$B$2:$B$101,0),MATCH(HR_Data!AC$1,Emp_Info!$B$1:$G$1,0))</f>
        <v>Bachelor</v>
      </c>
      <c r="AD42" t="str">
        <f>INDEX(Emp_Info!$A$1:$G$101,MATCH(HR_Data!$A42,Emp_Info!$B$1:$B$101,0),MATCH(HR_Data!AD$1,Emp_Info!$A$1:$G$1,0))</f>
        <v>Hyderabad</v>
      </c>
      <c r="AE42" t="str">
        <f>INDEX(Emp_Info!$A$1:$G$101,MATCH(HR_Data!$A42,Emp_Info!$B$1:$B$101,0),MATCH(HR_Data!AE$1,Emp_Info!$A$1:$G$1,0))</f>
        <v>South</v>
      </c>
      <c r="AF42" t="str">
        <f t="shared" si="11"/>
        <v>Eligible</v>
      </c>
    </row>
    <row r="43" spans="1:32" x14ac:dyDescent="0.35">
      <c r="A43" s="1" t="s">
        <v>103</v>
      </c>
      <c r="B43" s="5">
        <v>31419</v>
      </c>
      <c r="C43" s="1">
        <v>38</v>
      </c>
      <c r="D43" s="5">
        <v>42593</v>
      </c>
      <c r="E43" s="1" t="s">
        <v>57</v>
      </c>
      <c r="F43" s="1" t="s">
        <v>58</v>
      </c>
      <c r="G43" s="1" t="s">
        <v>104</v>
      </c>
      <c r="H43" s="1" t="s">
        <v>25</v>
      </c>
      <c r="I43" s="1" t="s">
        <v>61</v>
      </c>
      <c r="J43" s="6">
        <v>820000</v>
      </c>
      <c r="K43" s="7">
        <v>78000</v>
      </c>
      <c r="L43" s="7">
        <f t="shared" si="6"/>
        <v>898000</v>
      </c>
      <c r="M43" s="1">
        <v>15</v>
      </c>
      <c r="N43" s="8">
        <v>4.2</v>
      </c>
      <c r="O43" s="9">
        <v>97</v>
      </c>
      <c r="P43" s="1">
        <v>2</v>
      </c>
      <c r="Q43" s="1" t="s">
        <v>30</v>
      </c>
      <c r="R43" s="1" t="s">
        <v>31</v>
      </c>
      <c r="S43" s="5">
        <v>44433</v>
      </c>
      <c r="T43" s="1" t="s">
        <v>32</v>
      </c>
      <c r="U43" t="str">
        <f>VLOOKUP(A43,Emp_Info!$B$1:$G$101,3,0)</f>
        <v>vishal</v>
      </c>
      <c r="V43" t="str">
        <f>_xlfn.XLOOKUP(A43,Emp_Info!$B$2:$B$101,Emp_Info!$A$2:$A$101,,0)</f>
        <v>tiwari</v>
      </c>
      <c r="W43" s="3" t="str">
        <f t="shared" si="7"/>
        <v>Vishal Tiwari</v>
      </c>
      <c r="X43" t="str">
        <f t="shared" si="8"/>
        <v>VT023</v>
      </c>
      <c r="Y43" t="str">
        <f>HLOOKUP(F43,Dept_Info!$A$2:$I$3,2,0)</f>
        <v>Marketing</v>
      </c>
      <c r="Z43">
        <f t="shared" si="9"/>
        <v>898000</v>
      </c>
      <c r="AA43" t="str">
        <f t="shared" si="10"/>
        <v>Medium</v>
      </c>
      <c r="AB43" t="s">
        <v>263</v>
      </c>
      <c r="AC43" t="str">
        <f>INDEX(Emp_Info!$B$1:$G$101,MATCH(HR_Data!$A74,Emp_Info!$B$2:$B$101,0),MATCH(HR_Data!AC$1,Emp_Info!$B$1:$G$1,0))</f>
        <v>Bachelor</v>
      </c>
      <c r="AD43" t="str">
        <f>INDEX(Emp_Info!$A$1:$G$101,MATCH(HR_Data!$A43,Emp_Info!$B$1:$B$101,0),MATCH(HR_Data!AD$1,Emp_Info!$A$1:$G$1,0))</f>
        <v>Delhi</v>
      </c>
      <c r="AE43" t="str">
        <f>INDEX(Emp_Info!$A$1:$G$101,MATCH(HR_Data!$A43,Emp_Info!$B$1:$B$101,0),MATCH(HR_Data!AE$1,Emp_Info!$A$1:$G$1,0))</f>
        <v>North</v>
      </c>
      <c r="AF43" t="str">
        <f t="shared" si="11"/>
        <v>Not Eligible</v>
      </c>
    </row>
    <row r="44" spans="1:32" x14ac:dyDescent="0.35">
      <c r="A44" s="1" t="s">
        <v>217</v>
      </c>
      <c r="B44" s="5">
        <v>33714</v>
      </c>
      <c r="C44" s="1">
        <v>32</v>
      </c>
      <c r="D44" s="5">
        <v>44267</v>
      </c>
      <c r="E44" s="1" t="s">
        <v>57</v>
      </c>
      <c r="F44" s="1" t="s">
        <v>35</v>
      </c>
      <c r="G44" s="1" t="s">
        <v>218</v>
      </c>
      <c r="H44" s="1" t="s">
        <v>25</v>
      </c>
      <c r="I44" s="1" t="s">
        <v>39</v>
      </c>
      <c r="J44" s="6">
        <v>820000</v>
      </c>
      <c r="K44" s="7">
        <v>78000</v>
      </c>
      <c r="L44" s="7">
        <f t="shared" si="6"/>
        <v>898000</v>
      </c>
      <c r="M44" s="1">
        <v>8</v>
      </c>
      <c r="N44" s="8">
        <v>4.4000000000000004</v>
      </c>
      <c r="O44" s="9">
        <v>97.9</v>
      </c>
      <c r="P44" s="1">
        <v>3</v>
      </c>
      <c r="Q44" s="1" t="s">
        <v>30</v>
      </c>
      <c r="R44" s="1" t="s">
        <v>31</v>
      </c>
      <c r="S44" s="1" t="s">
        <v>50</v>
      </c>
      <c r="T44" s="1" t="s">
        <v>32</v>
      </c>
      <c r="U44" t="str">
        <f>VLOOKUP(A44,Emp_Info!$B$1:$G$101,3,0)</f>
        <v>shilpa</v>
      </c>
      <c r="V44" t="str">
        <f>_xlfn.XLOOKUP(A44,Emp_Info!$B$2:$B$101,Emp_Info!$A$2:$A$101,,0)</f>
        <v>kulkarni</v>
      </c>
      <c r="W44" s="3" t="str">
        <f t="shared" si="7"/>
        <v>Shilpa Kulkarni</v>
      </c>
      <c r="X44" t="str">
        <f t="shared" si="8"/>
        <v>SK080</v>
      </c>
      <c r="Y44" t="str">
        <f>HLOOKUP(F44,Dept_Info!$A$2:$I$3,2,0)</f>
        <v>HR</v>
      </c>
      <c r="Z44">
        <f t="shared" si="9"/>
        <v>898000</v>
      </c>
      <c r="AA44" t="str">
        <f t="shared" si="10"/>
        <v>Medium</v>
      </c>
      <c r="AB44" t="s">
        <v>264</v>
      </c>
      <c r="AC44" t="str">
        <f>INDEX(Emp_Info!$B$1:$G$101,MATCH(HR_Data!$A38,Emp_Info!$B$2:$B$101,0),MATCH(HR_Data!AC$1,Emp_Info!$B$1:$G$1,0))</f>
        <v>Bachelor</v>
      </c>
      <c r="AD44" t="str">
        <f>INDEX(Emp_Info!$A$1:$G$101,MATCH(HR_Data!$A44,Emp_Info!$B$1:$B$101,0),MATCH(HR_Data!AD$1,Emp_Info!$A$1:$G$1,0))</f>
        <v>Bangalore</v>
      </c>
      <c r="AE44" t="str">
        <f>INDEX(Emp_Info!$A$1:$G$101,MATCH(HR_Data!$A44,Emp_Info!$B$1:$B$101,0),MATCH(HR_Data!AE$1,Emp_Info!$A$1:$G$1,0))</f>
        <v>South</v>
      </c>
      <c r="AF44" t="str">
        <f t="shared" si="11"/>
        <v>Eligible</v>
      </c>
    </row>
    <row r="45" spans="1:32" x14ac:dyDescent="0.35">
      <c r="A45" s="1" t="s">
        <v>191</v>
      </c>
      <c r="B45" s="5">
        <v>31726</v>
      </c>
      <c r="C45" s="1">
        <v>38</v>
      </c>
      <c r="D45" s="5">
        <v>42434</v>
      </c>
      <c r="E45" s="1" t="s">
        <v>42</v>
      </c>
      <c r="F45" s="1" t="s">
        <v>65</v>
      </c>
      <c r="G45" s="1" t="s">
        <v>192</v>
      </c>
      <c r="H45" s="1" t="s">
        <v>25</v>
      </c>
      <c r="I45" s="1" t="s">
        <v>67</v>
      </c>
      <c r="J45" s="6">
        <v>810000</v>
      </c>
      <c r="K45" s="7">
        <v>78000</v>
      </c>
      <c r="L45" s="7">
        <f t="shared" si="6"/>
        <v>888000</v>
      </c>
      <c r="M45" s="1">
        <v>16</v>
      </c>
      <c r="N45" s="8">
        <v>4.3</v>
      </c>
      <c r="O45" s="9">
        <v>97.4</v>
      </c>
      <c r="P45" s="1">
        <v>2</v>
      </c>
      <c r="Q45" s="1" t="s">
        <v>48</v>
      </c>
      <c r="R45" s="1" t="s">
        <v>31</v>
      </c>
      <c r="S45" s="5">
        <v>44270</v>
      </c>
      <c r="T45" s="1" t="s">
        <v>32</v>
      </c>
      <c r="U45" t="str">
        <f>VLOOKUP(A45,Emp_Info!$B$1:$G$101,3,0)</f>
        <v>naveen</v>
      </c>
      <c r="V45" t="str">
        <f>_xlfn.XLOOKUP(A45,Emp_Info!$B$2:$B$101,Emp_Info!$A$2:$A$101,,0)</f>
        <v>gupta</v>
      </c>
      <c r="W45" s="3" t="str">
        <f t="shared" si="7"/>
        <v>Naveen Gupta</v>
      </c>
      <c r="X45" t="str">
        <f t="shared" si="8"/>
        <v>NG067</v>
      </c>
      <c r="Y45" t="str">
        <f>HLOOKUP(F45,Dept_Info!$A$2:$I$3,2,0)</f>
        <v>Sales</v>
      </c>
      <c r="Z45">
        <f t="shared" si="9"/>
        <v>1021200</v>
      </c>
      <c r="AA45" t="str">
        <f t="shared" si="10"/>
        <v>Medium</v>
      </c>
      <c r="AB45" t="s">
        <v>263</v>
      </c>
      <c r="AC45" t="str">
        <f>INDEX(Emp_Info!$B$1:$G$101,MATCH(HR_Data!$A87,Emp_Info!$B$2:$B$101,0),MATCH(HR_Data!AC$1,Emp_Info!$B$1:$G$1,0))</f>
        <v>Master</v>
      </c>
      <c r="AD45" t="str">
        <f>INDEX(Emp_Info!$A$1:$G$101,MATCH(HR_Data!$A45,Emp_Info!$B$1:$B$101,0),MATCH(HR_Data!AD$1,Emp_Info!$A$1:$G$1,0))</f>
        <v>Pune</v>
      </c>
      <c r="AE45" t="str">
        <f>INDEX(Emp_Info!$A$1:$G$101,MATCH(HR_Data!$A45,Emp_Info!$B$1:$B$101,0),MATCH(HR_Data!AE$1,Emp_Info!$A$1:$G$1,0))</f>
        <v>West</v>
      </c>
      <c r="AF45" t="str">
        <f t="shared" si="11"/>
        <v>Not Eligible</v>
      </c>
    </row>
    <row r="46" spans="1:32" x14ac:dyDescent="0.35">
      <c r="A46" s="1" t="s">
        <v>177</v>
      </c>
      <c r="B46" s="5">
        <v>33403</v>
      </c>
      <c r="C46" s="1">
        <v>33</v>
      </c>
      <c r="D46" s="5">
        <v>43932</v>
      </c>
      <c r="E46" s="1" t="s">
        <v>34</v>
      </c>
      <c r="F46" s="1" t="s">
        <v>52</v>
      </c>
      <c r="G46" s="1" t="s">
        <v>178</v>
      </c>
      <c r="H46" s="1" t="s">
        <v>25</v>
      </c>
      <c r="I46" s="1" t="s">
        <v>55</v>
      </c>
      <c r="J46" s="6">
        <v>810000</v>
      </c>
      <c r="K46" s="7">
        <v>78000</v>
      </c>
      <c r="L46" s="7">
        <f t="shared" si="6"/>
        <v>888000</v>
      </c>
      <c r="M46" s="1">
        <v>9</v>
      </c>
      <c r="N46" s="8">
        <v>4.3</v>
      </c>
      <c r="O46" s="9">
        <v>97.3</v>
      </c>
      <c r="P46" s="1">
        <v>2</v>
      </c>
      <c r="Q46" s="1" t="s">
        <v>30</v>
      </c>
      <c r="R46" s="1" t="s">
        <v>31</v>
      </c>
      <c r="S46" s="1" t="s">
        <v>50</v>
      </c>
      <c r="T46" s="1" t="s">
        <v>32</v>
      </c>
      <c r="U46" t="str">
        <f>VLOOKUP(A46,Emp_Info!$B$1:$G$101,3,0)</f>
        <v>nidhi</v>
      </c>
      <c r="V46" t="str">
        <f>_xlfn.XLOOKUP(A46,Emp_Info!$B$2:$B$101,Emp_Info!$A$2:$A$101,,0)</f>
        <v>kulkarni</v>
      </c>
      <c r="W46" s="3" t="str">
        <f t="shared" si="7"/>
        <v>Nidhi Kulkarni</v>
      </c>
      <c r="X46" t="str">
        <f t="shared" si="8"/>
        <v>NK060</v>
      </c>
      <c r="Y46" t="str">
        <f>HLOOKUP(F46,Dept_Info!$A$2:$I$3,2,0)</f>
        <v>Admin</v>
      </c>
      <c r="Z46">
        <f t="shared" si="9"/>
        <v>888000</v>
      </c>
      <c r="AA46" t="str">
        <f t="shared" si="10"/>
        <v>Medium</v>
      </c>
      <c r="AB46" t="s">
        <v>264</v>
      </c>
      <c r="AC46" t="str">
        <f>INDEX(Emp_Info!$B$1:$G$101,MATCH(HR_Data!$A4,Emp_Info!$B$2:$B$101,0),MATCH(HR_Data!AC$1,Emp_Info!$B$1:$G$1,0))</f>
        <v>Bachelor</v>
      </c>
      <c r="AD46" t="str">
        <f>INDEX(Emp_Info!$A$1:$G$101,MATCH(HR_Data!$A46,Emp_Info!$B$1:$B$101,0),MATCH(HR_Data!AD$1,Emp_Info!$A$1:$G$1,0))</f>
        <v>Pune</v>
      </c>
      <c r="AE46" t="str">
        <f>INDEX(Emp_Info!$A$1:$G$101,MATCH(HR_Data!$A46,Emp_Info!$B$1:$B$101,0),MATCH(HR_Data!AE$1,Emp_Info!$A$1:$G$1,0))</f>
        <v>West</v>
      </c>
      <c r="AF46" t="str">
        <f t="shared" si="11"/>
        <v>Not Eligible</v>
      </c>
    </row>
    <row r="47" spans="1:32" x14ac:dyDescent="0.35">
      <c r="A47" s="1" t="s">
        <v>199</v>
      </c>
      <c r="B47" s="5">
        <v>31865</v>
      </c>
      <c r="C47" s="1">
        <v>37</v>
      </c>
      <c r="D47" s="5">
        <v>42573</v>
      </c>
      <c r="E47" s="1" t="s">
        <v>22</v>
      </c>
      <c r="F47" s="1" t="s">
        <v>58</v>
      </c>
      <c r="G47" s="1" t="s">
        <v>200</v>
      </c>
      <c r="H47" s="1" t="s">
        <v>25</v>
      </c>
      <c r="I47" s="1" t="s">
        <v>61</v>
      </c>
      <c r="J47" s="6">
        <v>800000</v>
      </c>
      <c r="K47" s="7">
        <v>76000</v>
      </c>
      <c r="L47" s="7">
        <f t="shared" si="6"/>
        <v>876000</v>
      </c>
      <c r="M47" s="1">
        <v>15</v>
      </c>
      <c r="N47" s="8">
        <v>4.2</v>
      </c>
      <c r="O47" s="9">
        <v>97.2</v>
      </c>
      <c r="P47" s="1">
        <v>3</v>
      </c>
      <c r="Q47" s="1" t="s">
        <v>30</v>
      </c>
      <c r="R47" s="1" t="s">
        <v>31</v>
      </c>
      <c r="S47" s="5">
        <v>44407</v>
      </c>
      <c r="T47" s="1" t="s">
        <v>32</v>
      </c>
      <c r="U47" t="str">
        <f>VLOOKUP(A47,Emp_Info!$B$1:$G$101,3,0)</f>
        <v>tarun</v>
      </c>
      <c r="V47" t="str">
        <f>_xlfn.XLOOKUP(A47,Emp_Info!$B$2:$B$101,Emp_Info!$A$2:$A$101,,0)</f>
        <v>shetty</v>
      </c>
      <c r="W47" s="3" t="str">
        <f t="shared" si="7"/>
        <v>Tarun Shetty</v>
      </c>
      <c r="X47" t="str">
        <f t="shared" si="8"/>
        <v>TS071</v>
      </c>
      <c r="Y47" t="str">
        <f>HLOOKUP(F47,Dept_Info!$A$2:$I$3,2,0)</f>
        <v>Marketing</v>
      </c>
      <c r="Z47">
        <f t="shared" si="9"/>
        <v>876000</v>
      </c>
      <c r="AA47" t="str">
        <f t="shared" si="10"/>
        <v>Medium</v>
      </c>
      <c r="AB47" t="s">
        <v>263</v>
      </c>
      <c r="AC47" t="str">
        <f>INDEX(Emp_Info!$B$1:$G$101,MATCH(HR_Data!$A75,Emp_Info!$B$2:$B$101,0),MATCH(HR_Data!AC$1,Emp_Info!$B$1:$G$1,0))</f>
        <v>Bachelor</v>
      </c>
      <c r="AD47" t="str">
        <f>INDEX(Emp_Info!$A$1:$G$101,MATCH(HR_Data!$A47,Emp_Info!$B$1:$B$101,0),MATCH(HR_Data!AD$1,Emp_Info!$A$1:$G$1,0))</f>
        <v>Hyderabad</v>
      </c>
      <c r="AE47" t="str">
        <f>INDEX(Emp_Info!$A$1:$G$101,MATCH(HR_Data!$A47,Emp_Info!$B$1:$B$101,0),MATCH(HR_Data!AE$1,Emp_Info!$A$1:$G$1,0))</f>
        <v>South</v>
      </c>
      <c r="AF47" t="str">
        <f t="shared" si="11"/>
        <v>Eligible</v>
      </c>
    </row>
    <row r="48" spans="1:32" x14ac:dyDescent="0.35">
      <c r="A48" s="1" t="s">
        <v>183</v>
      </c>
      <c r="B48" s="5">
        <v>32010</v>
      </c>
      <c r="C48" s="1">
        <v>37</v>
      </c>
      <c r="D48" s="5">
        <v>42537</v>
      </c>
      <c r="E48" s="1" t="s">
        <v>57</v>
      </c>
      <c r="F48" s="1" t="s">
        <v>23</v>
      </c>
      <c r="G48" s="1" t="s">
        <v>184</v>
      </c>
      <c r="H48" s="1" t="s">
        <v>25</v>
      </c>
      <c r="I48" s="1" t="s">
        <v>28</v>
      </c>
      <c r="J48" s="6">
        <v>790000</v>
      </c>
      <c r="K48" s="7">
        <v>75000</v>
      </c>
      <c r="L48" s="7">
        <f t="shared" si="6"/>
        <v>865000</v>
      </c>
      <c r="M48" s="1">
        <v>15</v>
      </c>
      <c r="N48" s="8">
        <v>4.2</v>
      </c>
      <c r="O48" s="9">
        <v>96.9</v>
      </c>
      <c r="P48" s="1">
        <v>3</v>
      </c>
      <c r="Q48" s="1" t="s">
        <v>30</v>
      </c>
      <c r="R48" s="1" t="s">
        <v>31</v>
      </c>
      <c r="S48" s="5">
        <v>44367</v>
      </c>
      <c r="T48" s="1" t="s">
        <v>32</v>
      </c>
      <c r="U48" t="str">
        <f>VLOOKUP(A48,Emp_Info!$B$1:$G$101,3,0)</f>
        <v>abhishek</v>
      </c>
      <c r="V48" t="str">
        <f>_xlfn.XLOOKUP(A48,Emp_Info!$B$2:$B$101,Emp_Info!$A$2:$A$101,,0)</f>
        <v>pandey</v>
      </c>
      <c r="W48" s="3" t="str">
        <f t="shared" si="7"/>
        <v>Abhishek Pandey</v>
      </c>
      <c r="X48" t="str">
        <f t="shared" si="8"/>
        <v>AP063</v>
      </c>
      <c r="Y48" t="str">
        <f>HLOOKUP(F48,Dept_Info!$A$2:$I$3,2,0)</f>
        <v>IT</v>
      </c>
      <c r="Z48">
        <f t="shared" si="9"/>
        <v>865000</v>
      </c>
      <c r="AA48" t="str">
        <f t="shared" si="10"/>
        <v>Medium</v>
      </c>
      <c r="AB48" t="s">
        <v>263</v>
      </c>
      <c r="AC48" t="str">
        <f>INDEX(Emp_Info!$B$1:$G$101,MATCH(HR_Data!$A52,Emp_Info!$B$2:$B$101,0),MATCH(HR_Data!AC$1,Emp_Info!$B$1:$G$1,0))</f>
        <v>Master</v>
      </c>
      <c r="AD48" t="str">
        <f>INDEX(Emp_Info!$A$1:$G$101,MATCH(HR_Data!$A48,Emp_Info!$B$1:$B$101,0),MATCH(HR_Data!AD$1,Emp_Info!$A$1:$G$1,0))</f>
        <v>Mumbai</v>
      </c>
      <c r="AE48" t="str">
        <f>INDEX(Emp_Info!$A$1:$G$101,MATCH(HR_Data!$A48,Emp_Info!$B$1:$B$101,0),MATCH(HR_Data!AE$1,Emp_Info!$A$1:$G$1,0))</f>
        <v>West</v>
      </c>
      <c r="AF48" t="str">
        <f t="shared" si="11"/>
        <v>Eligible</v>
      </c>
    </row>
    <row r="49" spans="1:32" x14ac:dyDescent="0.35">
      <c r="A49" s="1" t="s">
        <v>223</v>
      </c>
      <c r="B49" s="5">
        <v>31835</v>
      </c>
      <c r="C49" s="1">
        <v>37</v>
      </c>
      <c r="D49" s="5">
        <v>42632</v>
      </c>
      <c r="E49" s="1" t="s">
        <v>69</v>
      </c>
      <c r="F49" s="1" t="s">
        <v>58</v>
      </c>
      <c r="G49" s="1" t="s">
        <v>224</v>
      </c>
      <c r="H49" s="1" t="s">
        <v>25</v>
      </c>
      <c r="I49" s="1" t="s">
        <v>61</v>
      </c>
      <c r="J49" s="6">
        <v>790000</v>
      </c>
      <c r="K49" s="7">
        <v>75000</v>
      </c>
      <c r="L49" s="7">
        <f t="shared" si="6"/>
        <v>865000</v>
      </c>
      <c r="M49" s="1">
        <v>15</v>
      </c>
      <c r="N49" s="8">
        <v>4.0999999999999996</v>
      </c>
      <c r="O49" s="9">
        <v>96.3</v>
      </c>
      <c r="P49" s="1">
        <v>2</v>
      </c>
      <c r="Q49" s="1" t="s">
        <v>30</v>
      </c>
      <c r="R49" s="1" t="s">
        <v>31</v>
      </c>
      <c r="S49" s="5">
        <v>44464</v>
      </c>
      <c r="T49" s="1" t="s">
        <v>32</v>
      </c>
      <c r="U49" t="str">
        <f>VLOOKUP(A49,Emp_Info!$B$1:$G$101,3,0)</f>
        <v>yogesh</v>
      </c>
      <c r="V49" t="str">
        <f>_xlfn.XLOOKUP(A49,Emp_Info!$B$2:$B$101,Emp_Info!$A$2:$A$101,,0)</f>
        <v>pandey</v>
      </c>
      <c r="W49" s="3" t="str">
        <f t="shared" si="7"/>
        <v>Yogesh Pandey</v>
      </c>
      <c r="X49" t="str">
        <f t="shared" si="8"/>
        <v>YP083</v>
      </c>
      <c r="Y49" t="str">
        <f>HLOOKUP(F49,Dept_Info!$A$2:$I$3,2,0)</f>
        <v>Marketing</v>
      </c>
      <c r="Z49">
        <f t="shared" si="9"/>
        <v>865000</v>
      </c>
      <c r="AA49" t="str">
        <f t="shared" si="10"/>
        <v>Medium</v>
      </c>
      <c r="AB49" t="s">
        <v>263</v>
      </c>
      <c r="AC49" t="str">
        <f>INDEX(Emp_Info!$B$1:$G$101,MATCH(HR_Data!$A76,Emp_Info!$B$2:$B$101,0),MATCH(HR_Data!AC$1,Emp_Info!$B$1:$G$1,0))</f>
        <v>Master</v>
      </c>
      <c r="AD49" t="str">
        <f>INDEX(Emp_Info!$A$1:$G$101,MATCH(HR_Data!$A49,Emp_Info!$B$1:$B$101,0),MATCH(HR_Data!AD$1,Emp_Info!$A$1:$G$1,0))</f>
        <v>Chennai</v>
      </c>
      <c r="AE49" t="str">
        <f>INDEX(Emp_Info!$A$1:$G$101,MATCH(HR_Data!$A49,Emp_Info!$B$1:$B$101,0),MATCH(HR_Data!AE$1,Emp_Info!$A$1:$G$1,0))</f>
        <v>South</v>
      </c>
      <c r="AF49" t="str">
        <f t="shared" si="11"/>
        <v>Not Eligible</v>
      </c>
    </row>
    <row r="50" spans="1:32" x14ac:dyDescent="0.35">
      <c r="A50" s="1" t="s">
        <v>135</v>
      </c>
      <c r="B50" s="5">
        <v>32236</v>
      </c>
      <c r="C50" s="1">
        <v>36</v>
      </c>
      <c r="D50" s="5">
        <v>42942</v>
      </c>
      <c r="E50" s="1" t="s">
        <v>34</v>
      </c>
      <c r="F50" s="1" t="s">
        <v>43</v>
      </c>
      <c r="G50" s="1" t="s">
        <v>136</v>
      </c>
      <c r="H50" s="1" t="s">
        <v>25</v>
      </c>
      <c r="I50" s="1" t="s">
        <v>47</v>
      </c>
      <c r="J50" s="6">
        <v>790000</v>
      </c>
      <c r="K50" s="7">
        <v>72000</v>
      </c>
      <c r="L50" s="7">
        <f t="shared" si="6"/>
        <v>862000</v>
      </c>
      <c r="M50" s="1">
        <v>13</v>
      </c>
      <c r="N50" s="8">
        <v>4.2</v>
      </c>
      <c r="O50" s="9">
        <v>96.5</v>
      </c>
      <c r="P50" s="1">
        <v>2</v>
      </c>
      <c r="Q50" s="1" t="s">
        <v>30</v>
      </c>
      <c r="R50" s="1" t="s">
        <v>31</v>
      </c>
      <c r="S50" s="5">
        <v>44752</v>
      </c>
      <c r="T50" s="1" t="s">
        <v>32</v>
      </c>
      <c r="U50" t="str">
        <f>VLOOKUP(A50,Emp_Info!$B$1:$G$101,3,0)</f>
        <v>sandeep</v>
      </c>
      <c r="V50" t="str">
        <f>_xlfn.XLOOKUP(A50,Emp_Info!$B$2:$B$101,Emp_Info!$A$2:$A$101,,0)</f>
        <v>rana</v>
      </c>
      <c r="W50" s="3" t="str">
        <f t="shared" si="7"/>
        <v>Sandeep Rana</v>
      </c>
      <c r="X50" t="str">
        <f t="shared" si="8"/>
        <v>SR039</v>
      </c>
      <c r="Y50" t="str">
        <f>HLOOKUP(F50,Dept_Info!$A$2:$I$3,2,0)</f>
        <v>Finance</v>
      </c>
      <c r="Z50">
        <f t="shared" si="9"/>
        <v>862000</v>
      </c>
      <c r="AA50" t="str">
        <f t="shared" si="10"/>
        <v>Medium</v>
      </c>
      <c r="AB50" t="s">
        <v>263</v>
      </c>
      <c r="AC50" t="str">
        <f>INDEX(Emp_Info!$B$1:$G$101,MATCH(HR_Data!$A25,Emp_Info!$B$2:$B$101,0),MATCH(HR_Data!AC$1,Emp_Info!$B$1:$G$1,0))</f>
        <v>Bachelor</v>
      </c>
      <c r="AD50" t="str">
        <f>INDEX(Emp_Info!$A$1:$G$101,MATCH(HR_Data!$A50,Emp_Info!$B$1:$B$101,0),MATCH(HR_Data!AD$1,Emp_Info!$A$1:$G$1,0))</f>
        <v>Delhi</v>
      </c>
      <c r="AE50" t="str">
        <f>INDEX(Emp_Info!$A$1:$G$101,MATCH(HR_Data!$A50,Emp_Info!$B$1:$B$101,0),MATCH(HR_Data!AE$1,Emp_Info!$A$1:$G$1,0))</f>
        <v>North</v>
      </c>
      <c r="AF50" t="str">
        <f t="shared" si="11"/>
        <v>Not Eligible</v>
      </c>
    </row>
    <row r="51" spans="1:32" x14ac:dyDescent="0.35">
      <c r="A51" s="1" t="s">
        <v>203</v>
      </c>
      <c r="B51" s="5">
        <v>33231</v>
      </c>
      <c r="C51" s="1">
        <v>34</v>
      </c>
      <c r="D51" s="5">
        <v>43512</v>
      </c>
      <c r="E51" s="1" t="s">
        <v>22</v>
      </c>
      <c r="F51" s="1" t="s">
        <v>65</v>
      </c>
      <c r="G51" s="1" t="s">
        <v>204</v>
      </c>
      <c r="H51" s="1" t="s">
        <v>25</v>
      </c>
      <c r="I51" s="1" t="s">
        <v>67</v>
      </c>
      <c r="J51" s="6">
        <v>780000</v>
      </c>
      <c r="K51" s="7">
        <v>75000</v>
      </c>
      <c r="L51" s="7">
        <f t="shared" si="6"/>
        <v>855000</v>
      </c>
      <c r="M51" s="1">
        <v>10</v>
      </c>
      <c r="N51" s="8">
        <v>4.2</v>
      </c>
      <c r="O51" s="9">
        <v>96.6</v>
      </c>
      <c r="P51" s="1">
        <v>2</v>
      </c>
      <c r="Q51" s="1" t="s">
        <v>30</v>
      </c>
      <c r="R51" s="1" t="s">
        <v>49</v>
      </c>
      <c r="S51" s="1" t="s">
        <v>50</v>
      </c>
      <c r="T51" s="1" t="s">
        <v>32</v>
      </c>
      <c r="U51" t="str">
        <f>VLOOKUP(A51,Emp_Info!$B$1:$G$101,3,0)</f>
        <v>ashish</v>
      </c>
      <c r="V51" t="str">
        <f>_xlfn.XLOOKUP(A51,Emp_Info!$B$2:$B$101,Emp_Info!$A$2:$A$101,,0)</f>
        <v>pillai</v>
      </c>
      <c r="W51" s="3" t="str">
        <f t="shared" si="7"/>
        <v>Ashish Pillai</v>
      </c>
      <c r="X51" t="str">
        <f t="shared" si="8"/>
        <v>AP073</v>
      </c>
      <c r="Y51" t="str">
        <f>HLOOKUP(F51,Dept_Info!$A$2:$I$3,2,0)</f>
        <v>Sales</v>
      </c>
      <c r="Z51">
        <f t="shared" si="9"/>
        <v>983250</v>
      </c>
      <c r="AA51" t="str">
        <f t="shared" si="10"/>
        <v>Medium</v>
      </c>
      <c r="AB51" t="s">
        <v>263</v>
      </c>
      <c r="AC51" t="str">
        <f>INDEX(Emp_Info!$B$1:$G$101,MATCH(HR_Data!$A97,Emp_Info!$B$2:$B$101,0),MATCH(HR_Data!AC$1,Emp_Info!$B$1:$G$1,0))</f>
        <v>Master</v>
      </c>
      <c r="AD51" t="str">
        <f>INDEX(Emp_Info!$A$1:$G$101,MATCH(HR_Data!$A51,Emp_Info!$B$1:$B$101,0),MATCH(HR_Data!AD$1,Emp_Info!$A$1:$G$1,0))</f>
        <v>Bangalore</v>
      </c>
      <c r="AE51" t="str">
        <f>INDEX(Emp_Info!$A$1:$G$101,MATCH(HR_Data!$A51,Emp_Info!$B$1:$B$101,0),MATCH(HR_Data!AE$1,Emp_Info!$A$1:$G$1,0))</f>
        <v>South</v>
      </c>
      <c r="AF51" t="str">
        <f t="shared" si="11"/>
        <v>Not Eligible</v>
      </c>
    </row>
    <row r="52" spans="1:32" x14ac:dyDescent="0.35">
      <c r="A52" s="1" t="s">
        <v>111</v>
      </c>
      <c r="B52" s="5">
        <v>30940</v>
      </c>
      <c r="C52" s="1">
        <v>40</v>
      </c>
      <c r="D52" s="5">
        <v>42013</v>
      </c>
      <c r="E52" s="1" t="s">
        <v>42</v>
      </c>
      <c r="F52" s="1" t="s">
        <v>23</v>
      </c>
      <c r="G52" s="1" t="s">
        <v>112</v>
      </c>
      <c r="H52" s="1" t="s">
        <v>25</v>
      </c>
      <c r="I52" s="1" t="s">
        <v>28</v>
      </c>
      <c r="J52" s="6">
        <v>780000</v>
      </c>
      <c r="K52" s="7">
        <v>72000</v>
      </c>
      <c r="L52" s="7">
        <f t="shared" si="6"/>
        <v>852000</v>
      </c>
      <c r="M52" s="1">
        <v>19</v>
      </c>
      <c r="N52" s="8">
        <v>4.0999999999999996</v>
      </c>
      <c r="O52" s="9">
        <v>96.4</v>
      </c>
      <c r="P52" s="1">
        <v>3</v>
      </c>
      <c r="Q52" s="1" t="s">
        <v>48</v>
      </c>
      <c r="R52" s="1" t="s">
        <v>31</v>
      </c>
      <c r="S52" s="5">
        <v>43845</v>
      </c>
      <c r="T52" s="1" t="s">
        <v>32</v>
      </c>
      <c r="U52" t="str">
        <f>VLOOKUP(A52,Emp_Info!$B$1:$G$101,3,0)</f>
        <v>ashok</v>
      </c>
      <c r="V52" t="str">
        <f>_xlfn.XLOOKUP(A52,Emp_Info!$B$2:$B$101,Emp_Info!$A$2:$A$101,,0)</f>
        <v>bansal</v>
      </c>
      <c r="W52" s="3" t="str">
        <f t="shared" si="7"/>
        <v>Ashok Bansal</v>
      </c>
      <c r="X52" t="str">
        <f t="shared" si="8"/>
        <v>AB027</v>
      </c>
      <c r="Y52" t="str">
        <f>HLOOKUP(F52,Dept_Info!$A$2:$I$3,2,0)</f>
        <v>IT</v>
      </c>
      <c r="Z52">
        <f t="shared" si="9"/>
        <v>852000</v>
      </c>
      <c r="AA52" t="str">
        <f t="shared" si="10"/>
        <v>Medium</v>
      </c>
      <c r="AB52" t="s">
        <v>263</v>
      </c>
      <c r="AC52" t="str">
        <f>INDEX(Emp_Info!$B$1:$G$101,MATCH(HR_Data!$A47,Emp_Info!$B$2:$B$101,0),MATCH(HR_Data!AC$1,Emp_Info!$B$1:$G$1,0))</f>
        <v>Bachelor</v>
      </c>
      <c r="AD52" t="str">
        <f>INDEX(Emp_Info!$A$1:$G$101,MATCH(HR_Data!$A52,Emp_Info!$B$1:$B$101,0),MATCH(HR_Data!AD$1,Emp_Info!$A$1:$G$1,0))</f>
        <v>Mumbai</v>
      </c>
      <c r="AE52" t="str">
        <f>INDEX(Emp_Info!$A$1:$G$101,MATCH(HR_Data!$A52,Emp_Info!$B$1:$B$101,0),MATCH(HR_Data!AE$1,Emp_Info!$A$1:$G$1,0))</f>
        <v>West</v>
      </c>
      <c r="AF52" t="str">
        <f t="shared" si="11"/>
        <v>Eligible</v>
      </c>
    </row>
    <row r="53" spans="1:32" x14ac:dyDescent="0.35">
      <c r="A53" s="1" t="s">
        <v>209</v>
      </c>
      <c r="B53" s="5">
        <v>33270</v>
      </c>
      <c r="C53" s="1">
        <v>33</v>
      </c>
      <c r="D53" s="5">
        <v>43735</v>
      </c>
      <c r="E53" s="1" t="s">
        <v>22</v>
      </c>
      <c r="F53" s="1" t="s">
        <v>58</v>
      </c>
      <c r="G53" s="1" t="s">
        <v>210</v>
      </c>
      <c r="H53" s="1" t="s">
        <v>25</v>
      </c>
      <c r="I53" s="1" t="s">
        <v>61</v>
      </c>
      <c r="J53" s="6">
        <v>780000</v>
      </c>
      <c r="K53" s="7">
        <v>72000</v>
      </c>
      <c r="L53" s="7">
        <f t="shared" si="6"/>
        <v>852000</v>
      </c>
      <c r="M53" s="1">
        <v>9</v>
      </c>
      <c r="N53" s="8">
        <v>4.3</v>
      </c>
      <c r="O53" s="9">
        <v>97.5</v>
      </c>
      <c r="P53" s="1">
        <v>2</v>
      </c>
      <c r="Q53" s="1" t="s">
        <v>30</v>
      </c>
      <c r="R53" s="1" t="s">
        <v>31</v>
      </c>
      <c r="S53" s="5">
        <v>45184</v>
      </c>
      <c r="T53" s="1" t="s">
        <v>32</v>
      </c>
      <c r="U53" t="str">
        <f>VLOOKUP(A53,Emp_Info!$B$1:$G$101,3,0)</f>
        <v>sunita</v>
      </c>
      <c r="V53" t="str">
        <f>_xlfn.XLOOKUP(A53,Emp_Info!$B$2:$B$101,Emp_Info!$A$2:$A$101,,0)</f>
        <v>nair</v>
      </c>
      <c r="W53" s="3" t="str">
        <f t="shared" si="7"/>
        <v>Sunita Nair</v>
      </c>
      <c r="X53" t="str">
        <f t="shared" si="8"/>
        <v>SN076</v>
      </c>
      <c r="Y53" t="str">
        <f>HLOOKUP(F53,Dept_Info!$A$2:$I$3,2,0)</f>
        <v>Marketing</v>
      </c>
      <c r="Z53">
        <f t="shared" si="9"/>
        <v>852000</v>
      </c>
      <c r="AA53" t="str">
        <f t="shared" si="10"/>
        <v>Medium</v>
      </c>
      <c r="AB53" t="s">
        <v>264</v>
      </c>
      <c r="AC53" t="str">
        <f>INDEX(Emp_Info!$B$1:$G$101,MATCH(HR_Data!$A83,Emp_Info!$B$2:$B$101,0),MATCH(HR_Data!AC$1,Emp_Info!$B$1:$G$1,0))</f>
        <v>Bachelor</v>
      </c>
      <c r="AD53" t="str">
        <f>INDEX(Emp_Info!$A$1:$G$101,MATCH(HR_Data!$A53,Emp_Info!$B$1:$B$101,0),MATCH(HR_Data!AD$1,Emp_Info!$A$1:$G$1,0))</f>
        <v>Mumbai</v>
      </c>
      <c r="AE53" t="str">
        <f>INDEX(Emp_Info!$A$1:$G$101,MATCH(HR_Data!$A53,Emp_Info!$B$1:$B$101,0),MATCH(HR_Data!AE$1,Emp_Info!$A$1:$G$1,0))</f>
        <v>West</v>
      </c>
      <c r="AF53" t="str">
        <f t="shared" si="11"/>
        <v>Not Eligible</v>
      </c>
    </row>
    <row r="54" spans="1:32" x14ac:dyDescent="0.35">
      <c r="A54" s="1" t="s">
        <v>105</v>
      </c>
      <c r="B54" s="5">
        <v>33803</v>
      </c>
      <c r="C54" s="1">
        <v>32</v>
      </c>
      <c r="D54" s="5">
        <v>44170</v>
      </c>
      <c r="E54" s="1" t="s">
        <v>34</v>
      </c>
      <c r="F54" s="1" t="s">
        <v>52</v>
      </c>
      <c r="G54" s="1" t="s">
        <v>106</v>
      </c>
      <c r="H54" s="1" t="s">
        <v>25</v>
      </c>
      <c r="I54" s="1" t="s">
        <v>55</v>
      </c>
      <c r="J54" s="6">
        <v>780000</v>
      </c>
      <c r="K54" s="7">
        <v>72000</v>
      </c>
      <c r="L54" s="7">
        <f t="shared" si="6"/>
        <v>852000</v>
      </c>
      <c r="M54" s="1">
        <v>8</v>
      </c>
      <c r="N54" s="8">
        <v>4.4000000000000004</v>
      </c>
      <c r="O54" s="9">
        <v>98.3</v>
      </c>
      <c r="P54" s="1">
        <v>3</v>
      </c>
      <c r="Q54" s="1" t="s">
        <v>30</v>
      </c>
      <c r="R54" s="1" t="s">
        <v>31</v>
      </c>
      <c r="S54" s="1" t="s">
        <v>50</v>
      </c>
      <c r="T54" s="1" t="s">
        <v>32</v>
      </c>
      <c r="U54" t="str">
        <f>VLOOKUP(A54,Emp_Info!$B$1:$G$101,3,0)</f>
        <v>anjali</v>
      </c>
      <c r="V54" t="str">
        <f>_xlfn.XLOOKUP(A54,Emp_Info!$B$2:$B$101,Emp_Info!$A$2:$A$101,,0)</f>
        <v>sinha</v>
      </c>
      <c r="W54" s="3" t="str">
        <f t="shared" si="7"/>
        <v>Anjali Sinha</v>
      </c>
      <c r="X54" t="str">
        <f t="shared" si="8"/>
        <v>AS024</v>
      </c>
      <c r="Y54" t="str">
        <f>HLOOKUP(F54,Dept_Info!$A$2:$I$3,2,0)</f>
        <v>Admin</v>
      </c>
      <c r="Z54">
        <f t="shared" si="9"/>
        <v>852000</v>
      </c>
      <c r="AA54" t="str">
        <f t="shared" si="10"/>
        <v>Medium</v>
      </c>
      <c r="AB54" t="s">
        <v>264</v>
      </c>
      <c r="AC54" t="str">
        <f>INDEX(Emp_Info!$B$1:$G$101,MATCH(HR_Data!$A6,Emp_Info!$B$2:$B$101,0),MATCH(HR_Data!AC$1,Emp_Info!$B$1:$G$1,0))</f>
        <v>Bachelor</v>
      </c>
      <c r="AD54" t="str">
        <f>INDEX(Emp_Info!$A$1:$G$101,MATCH(HR_Data!$A54,Emp_Info!$B$1:$B$101,0),MATCH(HR_Data!AD$1,Emp_Info!$A$1:$G$1,0))</f>
        <v>Bangalore</v>
      </c>
      <c r="AE54" t="str">
        <f>INDEX(Emp_Info!$A$1:$G$101,MATCH(HR_Data!$A54,Emp_Info!$B$1:$B$101,0),MATCH(HR_Data!AE$1,Emp_Info!$A$1:$G$1,0))</f>
        <v>South</v>
      </c>
      <c r="AF54" t="str">
        <f t="shared" si="11"/>
        <v>Eligible</v>
      </c>
    </row>
    <row r="55" spans="1:32" x14ac:dyDescent="0.35">
      <c r="A55" s="1" t="s">
        <v>157</v>
      </c>
      <c r="B55" s="5">
        <v>34255</v>
      </c>
      <c r="C55" s="1">
        <v>31</v>
      </c>
      <c r="D55" s="5">
        <v>44338</v>
      </c>
      <c r="E55" s="1" t="s">
        <v>22</v>
      </c>
      <c r="F55" s="1" t="s">
        <v>23</v>
      </c>
      <c r="G55" s="1" t="s">
        <v>158</v>
      </c>
      <c r="H55" s="1" t="s">
        <v>25</v>
      </c>
      <c r="I55" s="1" t="s">
        <v>28</v>
      </c>
      <c r="J55" s="6">
        <v>780000</v>
      </c>
      <c r="K55" s="7">
        <v>72000</v>
      </c>
      <c r="L55" s="7">
        <f t="shared" si="6"/>
        <v>852000</v>
      </c>
      <c r="M55" s="1">
        <v>6</v>
      </c>
      <c r="N55" s="8">
        <v>4.2</v>
      </c>
      <c r="O55" s="9">
        <v>96.7</v>
      </c>
      <c r="P55" s="1">
        <v>3</v>
      </c>
      <c r="Q55" s="1" t="s">
        <v>30</v>
      </c>
      <c r="R55" s="1" t="s">
        <v>31</v>
      </c>
      <c r="S55" s="1" t="s">
        <v>50</v>
      </c>
      <c r="T55" s="1" t="s">
        <v>32</v>
      </c>
      <c r="U55" t="str">
        <f>VLOOKUP(A55,Emp_Info!$B$1:$G$101,3,0)</f>
        <v>kavya</v>
      </c>
      <c r="V55" t="str">
        <f>_xlfn.XLOOKUP(A55,Emp_Info!$B$2:$B$101,Emp_Info!$A$2:$A$101,,0)</f>
        <v>iyer</v>
      </c>
      <c r="W55" s="3" t="str">
        <f t="shared" si="7"/>
        <v>Kavya Iyer</v>
      </c>
      <c r="X55" t="str">
        <f t="shared" si="8"/>
        <v>KI050</v>
      </c>
      <c r="Y55" t="str">
        <f>HLOOKUP(F55,Dept_Info!$A$2:$I$3,2,0)</f>
        <v>IT</v>
      </c>
      <c r="Z55">
        <f t="shared" si="9"/>
        <v>852000</v>
      </c>
      <c r="AA55" t="str">
        <f t="shared" si="10"/>
        <v>Medium</v>
      </c>
      <c r="AB55" t="s">
        <v>264</v>
      </c>
      <c r="AC55" t="str">
        <f>INDEX(Emp_Info!$B$1:$G$101,MATCH(HR_Data!$A62,Emp_Info!$B$2:$B$101,0),MATCH(HR_Data!AC$1,Emp_Info!$B$1:$G$1,0))</f>
        <v>Bachelor</v>
      </c>
      <c r="AD55" t="str">
        <f>INDEX(Emp_Info!$A$1:$G$101,MATCH(HR_Data!$A55,Emp_Info!$B$1:$B$101,0),MATCH(HR_Data!AD$1,Emp_Info!$A$1:$G$1,0))</f>
        <v>Noida</v>
      </c>
      <c r="AE55" t="str">
        <f>INDEX(Emp_Info!$A$1:$G$101,MATCH(HR_Data!$A55,Emp_Info!$B$1:$B$101,0),MATCH(HR_Data!AE$1,Emp_Info!$A$1:$G$1,0))</f>
        <v>North</v>
      </c>
      <c r="AF55" t="str">
        <f t="shared" si="11"/>
        <v>Not Eligible</v>
      </c>
    </row>
    <row r="56" spans="1:32" x14ac:dyDescent="0.35">
      <c r="A56" s="1" t="s">
        <v>41</v>
      </c>
      <c r="B56" s="5">
        <v>32457</v>
      </c>
      <c r="C56" s="1">
        <v>36</v>
      </c>
      <c r="D56" s="5">
        <v>42755</v>
      </c>
      <c r="E56" s="1" t="s">
        <v>42</v>
      </c>
      <c r="F56" s="1" t="s">
        <v>43</v>
      </c>
      <c r="G56" s="1" t="s">
        <v>44</v>
      </c>
      <c r="H56" s="1" t="s">
        <v>25</v>
      </c>
      <c r="I56" s="1" t="s">
        <v>47</v>
      </c>
      <c r="J56" s="6">
        <v>780000</v>
      </c>
      <c r="K56" s="7">
        <v>70000</v>
      </c>
      <c r="L56" s="7">
        <f t="shared" si="6"/>
        <v>850000</v>
      </c>
      <c r="M56" s="1">
        <v>14</v>
      </c>
      <c r="N56" s="8">
        <v>3.8</v>
      </c>
      <c r="O56" s="9">
        <v>94.3</v>
      </c>
      <c r="P56" s="1">
        <v>1</v>
      </c>
      <c r="Q56" s="1" t="s">
        <v>48</v>
      </c>
      <c r="R56" s="1" t="s">
        <v>49</v>
      </c>
      <c r="S56" s="1" t="s">
        <v>50</v>
      </c>
      <c r="T56" s="1" t="s">
        <v>32</v>
      </c>
      <c r="U56" t="str">
        <f>VLOOKUP(A56,Emp_Info!$B$1:$G$101,3,0)</f>
        <v>amit</v>
      </c>
      <c r="V56" t="str">
        <f>_xlfn.XLOOKUP(A56,Emp_Info!$B$2:$B$101,Emp_Info!$A$2:$A$101,,0)</f>
        <v>patel</v>
      </c>
      <c r="W56" s="3" t="str">
        <f t="shared" si="7"/>
        <v>Amit Patel</v>
      </c>
      <c r="X56" t="str">
        <f t="shared" si="8"/>
        <v>AP003</v>
      </c>
      <c r="Y56" t="str">
        <f>HLOOKUP(F56,Dept_Info!$A$2:$I$3,2,0)</f>
        <v>Finance</v>
      </c>
      <c r="Z56">
        <f t="shared" si="9"/>
        <v>850000</v>
      </c>
      <c r="AA56" t="str">
        <f t="shared" si="10"/>
        <v>Medium</v>
      </c>
      <c r="AB56" t="s">
        <v>263</v>
      </c>
      <c r="AC56" t="str">
        <f>INDEX(Emp_Info!$B$1:$G$101,MATCH(HR_Data!$A24,Emp_Info!$B$2:$B$101,0),MATCH(HR_Data!AC$1,Emp_Info!$B$1:$G$1,0))</f>
        <v>Master</v>
      </c>
      <c r="AD56" t="str">
        <f>INDEX(Emp_Info!$A$1:$G$101,MATCH(HR_Data!$A56,Emp_Info!$B$1:$B$101,0),MATCH(HR_Data!AD$1,Emp_Info!$A$1:$G$1,0))</f>
        <v>Bangalore</v>
      </c>
      <c r="AE56" t="str">
        <f>INDEX(Emp_Info!$A$1:$G$101,MATCH(HR_Data!$A56,Emp_Info!$B$1:$B$101,0),MATCH(HR_Data!AE$1,Emp_Info!$A$1:$G$1,0))</f>
        <v>South</v>
      </c>
      <c r="AF56" t="str">
        <f t="shared" si="11"/>
        <v>Not Eligible</v>
      </c>
    </row>
    <row r="57" spans="1:32" x14ac:dyDescent="0.35">
      <c r="A57" s="1" t="s">
        <v>231</v>
      </c>
      <c r="B57" s="5">
        <v>32218</v>
      </c>
      <c r="C57" s="1">
        <v>36</v>
      </c>
      <c r="D57" s="5">
        <v>42924</v>
      </c>
      <c r="E57" s="1" t="s">
        <v>34</v>
      </c>
      <c r="F57" s="1" t="s">
        <v>43</v>
      </c>
      <c r="G57" s="1" t="s">
        <v>232</v>
      </c>
      <c r="H57" s="1" t="s">
        <v>25</v>
      </c>
      <c r="I57" s="1" t="s">
        <v>47</v>
      </c>
      <c r="J57" s="6">
        <v>770000</v>
      </c>
      <c r="K57" s="7">
        <v>72000</v>
      </c>
      <c r="L57" s="7">
        <f t="shared" si="6"/>
        <v>842000</v>
      </c>
      <c r="M57" s="1">
        <v>13</v>
      </c>
      <c r="N57" s="8">
        <v>4.0999999999999996</v>
      </c>
      <c r="O57" s="9">
        <v>96.5</v>
      </c>
      <c r="P57" s="1">
        <v>2</v>
      </c>
      <c r="Q57" s="1" t="s">
        <v>30</v>
      </c>
      <c r="R57" s="1" t="s">
        <v>31</v>
      </c>
      <c r="S57" s="5">
        <v>44757</v>
      </c>
      <c r="T57" s="1" t="s">
        <v>32</v>
      </c>
      <c r="U57" t="str">
        <f>VLOOKUP(A57,Emp_Info!$B$1:$G$101,3,0)</f>
        <v>hemant</v>
      </c>
      <c r="V57" t="str">
        <f>_xlfn.XLOOKUP(A57,Emp_Info!$B$2:$B$101,Emp_Info!$A$2:$A$101,,0)</f>
        <v>gupta</v>
      </c>
      <c r="W57" s="3" t="str">
        <f t="shared" si="7"/>
        <v>Hemant Gupta</v>
      </c>
      <c r="X57" t="str">
        <f t="shared" si="8"/>
        <v>HG087</v>
      </c>
      <c r="Y57" t="str">
        <f>HLOOKUP(F57,Dept_Info!$A$2:$I$3,2,0)</f>
        <v>Finance</v>
      </c>
      <c r="Z57">
        <f t="shared" si="9"/>
        <v>842000</v>
      </c>
      <c r="AA57" t="str">
        <f t="shared" si="10"/>
        <v>Medium</v>
      </c>
      <c r="AB57" t="s">
        <v>263</v>
      </c>
      <c r="AC57" t="str">
        <f>INDEX(Emp_Info!$B$1:$G$101,MATCH(HR_Data!$A26,Emp_Info!$B$2:$B$101,0),MATCH(HR_Data!AC$1,Emp_Info!$B$1:$G$1,0))</f>
        <v>Bachelor</v>
      </c>
      <c r="AD57" t="str">
        <f>INDEX(Emp_Info!$A$1:$G$101,MATCH(HR_Data!$A57,Emp_Info!$B$1:$B$101,0),MATCH(HR_Data!AD$1,Emp_Info!$A$1:$G$1,0))</f>
        <v>Hyderabad</v>
      </c>
      <c r="AE57" t="str">
        <f>INDEX(Emp_Info!$A$1:$G$101,MATCH(HR_Data!$A57,Emp_Info!$B$1:$B$101,0),MATCH(HR_Data!AE$1,Emp_Info!$A$1:$G$1,0))</f>
        <v>South</v>
      </c>
      <c r="AF57" t="str">
        <f t="shared" si="11"/>
        <v>Not Eligible</v>
      </c>
    </row>
    <row r="58" spans="1:32" x14ac:dyDescent="0.35">
      <c r="A58" s="1" t="s">
        <v>171</v>
      </c>
      <c r="B58" s="5">
        <v>32753</v>
      </c>
      <c r="C58" s="1">
        <v>35</v>
      </c>
      <c r="D58" s="5">
        <v>43235</v>
      </c>
      <c r="E58" s="1" t="s">
        <v>42</v>
      </c>
      <c r="F58" s="1" t="s">
        <v>43</v>
      </c>
      <c r="G58" s="1" t="s">
        <v>172</v>
      </c>
      <c r="H58" s="1" t="s">
        <v>25</v>
      </c>
      <c r="I58" s="1" t="s">
        <v>47</v>
      </c>
      <c r="J58" s="6">
        <v>770000</v>
      </c>
      <c r="K58" s="7">
        <v>71000</v>
      </c>
      <c r="L58" s="7">
        <f t="shared" si="6"/>
        <v>841000</v>
      </c>
      <c r="M58" s="1">
        <v>11</v>
      </c>
      <c r="N58" s="8">
        <v>4.0999999999999996</v>
      </c>
      <c r="O58" s="9">
        <v>96.2</v>
      </c>
      <c r="P58" s="1">
        <v>2</v>
      </c>
      <c r="Q58" s="1" t="s">
        <v>30</v>
      </c>
      <c r="R58" s="1" t="s">
        <v>31</v>
      </c>
      <c r="S58" s="5">
        <v>45066</v>
      </c>
      <c r="T58" s="1" t="s">
        <v>32</v>
      </c>
      <c r="U58" t="str">
        <f>VLOOKUP(A58,Emp_Info!$B$1:$G$101,3,0)</f>
        <v>mohit</v>
      </c>
      <c r="V58" t="str">
        <f>_xlfn.XLOOKUP(A58,Emp_Info!$B$2:$B$101,Emp_Info!$A$2:$A$101,,0)</f>
        <v>jain</v>
      </c>
      <c r="W58" s="3" t="str">
        <f t="shared" si="7"/>
        <v>Mohit Jain</v>
      </c>
      <c r="X58" t="str">
        <f t="shared" si="8"/>
        <v>MJ057</v>
      </c>
      <c r="Y58" t="str">
        <f>HLOOKUP(F58,Dept_Info!$A$2:$I$3,2,0)</f>
        <v>Finance</v>
      </c>
      <c r="Z58">
        <f t="shared" si="9"/>
        <v>841000</v>
      </c>
      <c r="AA58" t="str">
        <f t="shared" si="10"/>
        <v>Medium</v>
      </c>
      <c r="AB58" t="s">
        <v>263</v>
      </c>
      <c r="AC58" t="str">
        <f>INDEX(Emp_Info!$B$1:$G$101,MATCH(HR_Data!$A32,Emp_Info!$B$2:$B$101,0),MATCH(HR_Data!AC$1,Emp_Info!$B$1:$G$1,0))</f>
        <v>Bachelor</v>
      </c>
      <c r="AD58" t="str">
        <f>INDEX(Emp_Info!$A$1:$G$101,MATCH(HR_Data!$A58,Emp_Info!$B$1:$B$101,0),MATCH(HR_Data!AD$1,Emp_Info!$A$1:$G$1,0))</f>
        <v>Mumbai</v>
      </c>
      <c r="AE58" t="str">
        <f>INDEX(Emp_Info!$A$1:$G$101,MATCH(HR_Data!$A58,Emp_Info!$B$1:$B$101,0),MATCH(HR_Data!AE$1,Emp_Info!$A$1:$G$1,0))</f>
        <v>West</v>
      </c>
      <c r="AF58" t="str">
        <f t="shared" si="11"/>
        <v>Not Eligible</v>
      </c>
    </row>
    <row r="59" spans="1:32" x14ac:dyDescent="0.35">
      <c r="A59" s="1" t="s">
        <v>187</v>
      </c>
      <c r="B59" s="5">
        <v>32919</v>
      </c>
      <c r="C59" s="1">
        <v>34</v>
      </c>
      <c r="D59" s="5">
        <v>43356</v>
      </c>
      <c r="E59" s="1" t="s">
        <v>22</v>
      </c>
      <c r="F59" s="1" t="s">
        <v>58</v>
      </c>
      <c r="G59" s="1" t="s">
        <v>188</v>
      </c>
      <c r="H59" s="1" t="s">
        <v>25</v>
      </c>
      <c r="I59" s="1" t="s">
        <v>61</v>
      </c>
      <c r="J59" s="6">
        <v>760000</v>
      </c>
      <c r="K59" s="7">
        <v>72000</v>
      </c>
      <c r="L59" s="7">
        <f t="shared" si="6"/>
        <v>832000</v>
      </c>
      <c r="M59" s="1">
        <v>11</v>
      </c>
      <c r="N59" s="8">
        <v>4.0999999999999996</v>
      </c>
      <c r="O59" s="9">
        <v>96.4</v>
      </c>
      <c r="P59" s="1">
        <v>2</v>
      </c>
      <c r="Q59" s="1" t="s">
        <v>30</v>
      </c>
      <c r="R59" s="1" t="s">
        <v>31</v>
      </c>
      <c r="S59" s="5">
        <v>45189</v>
      </c>
      <c r="T59" s="1" t="s">
        <v>32</v>
      </c>
      <c r="U59" t="str">
        <f>VLOOKUP(A59,Emp_Info!$B$1:$G$101,3,0)</f>
        <v>pankaj</v>
      </c>
      <c r="V59" t="str">
        <f>_xlfn.XLOOKUP(A59,Emp_Info!$B$2:$B$101,Emp_Info!$A$2:$A$101,,0)</f>
        <v>bansal</v>
      </c>
      <c r="W59" s="3" t="str">
        <f t="shared" si="7"/>
        <v>Pankaj Bansal</v>
      </c>
      <c r="X59" t="str">
        <f t="shared" si="8"/>
        <v>PB065</v>
      </c>
      <c r="Y59" t="str">
        <f>HLOOKUP(F59,Dept_Info!$A$2:$I$3,2,0)</f>
        <v>Marketing</v>
      </c>
      <c r="Z59">
        <f t="shared" si="9"/>
        <v>832000</v>
      </c>
      <c r="AA59" t="str">
        <f t="shared" si="10"/>
        <v>Medium</v>
      </c>
      <c r="AB59" t="s">
        <v>263</v>
      </c>
      <c r="AC59" t="str">
        <f>INDEX(Emp_Info!$B$1:$G$101,MATCH(HR_Data!$A80,Emp_Info!$B$2:$B$101,0),MATCH(HR_Data!AC$1,Emp_Info!$B$1:$G$1,0))</f>
        <v>Master</v>
      </c>
      <c r="AD59" t="str">
        <f>INDEX(Emp_Info!$A$1:$G$101,MATCH(HR_Data!$A59,Emp_Info!$B$1:$B$101,0),MATCH(HR_Data!AD$1,Emp_Info!$A$1:$G$1,0))</f>
        <v>Noida</v>
      </c>
      <c r="AE59" t="str">
        <f>INDEX(Emp_Info!$A$1:$G$101,MATCH(HR_Data!$A59,Emp_Info!$B$1:$B$101,0),MATCH(HR_Data!AE$1,Emp_Info!$A$1:$G$1,0))</f>
        <v>North</v>
      </c>
      <c r="AF59" t="str">
        <f t="shared" si="11"/>
        <v>Not Eligible</v>
      </c>
    </row>
    <row r="60" spans="1:32" x14ac:dyDescent="0.35">
      <c r="A60" s="1" t="s">
        <v>237</v>
      </c>
      <c r="B60" s="5">
        <v>33748</v>
      </c>
      <c r="C60" s="1">
        <v>32</v>
      </c>
      <c r="D60" s="5">
        <v>44062</v>
      </c>
      <c r="E60" s="1" t="s">
        <v>57</v>
      </c>
      <c r="F60" s="1" t="s">
        <v>52</v>
      </c>
      <c r="G60" s="1" t="s">
        <v>238</v>
      </c>
      <c r="H60" s="1" t="s">
        <v>25</v>
      </c>
      <c r="I60" s="1" t="s">
        <v>55</v>
      </c>
      <c r="J60" s="6">
        <v>760000</v>
      </c>
      <c r="K60" s="7">
        <v>72000</v>
      </c>
      <c r="L60" s="7">
        <f t="shared" si="6"/>
        <v>832000</v>
      </c>
      <c r="M60" s="1">
        <v>8</v>
      </c>
      <c r="N60" s="8">
        <v>4.2</v>
      </c>
      <c r="O60" s="9">
        <v>96.9</v>
      </c>
      <c r="P60" s="1">
        <v>2</v>
      </c>
      <c r="Q60" s="1" t="s">
        <v>30</v>
      </c>
      <c r="R60" s="1" t="s">
        <v>31</v>
      </c>
      <c r="S60" s="1" t="s">
        <v>50</v>
      </c>
      <c r="T60" s="1" t="s">
        <v>32</v>
      </c>
      <c r="U60" t="str">
        <f>VLOOKUP(A60,Emp_Info!$B$1:$G$101,3,0)</f>
        <v>naina</v>
      </c>
      <c r="V60" t="str">
        <f>_xlfn.XLOOKUP(A60,Emp_Info!$B$2:$B$101,Emp_Info!$A$2:$A$101,,0)</f>
        <v>tiwari</v>
      </c>
      <c r="W60" s="3" t="str">
        <f t="shared" si="7"/>
        <v>Naina Tiwari</v>
      </c>
      <c r="X60" t="str">
        <f t="shared" si="8"/>
        <v>NT090</v>
      </c>
      <c r="Y60" t="str">
        <f>HLOOKUP(F60,Dept_Info!$A$2:$I$3,2,0)</f>
        <v>Admin</v>
      </c>
      <c r="Z60">
        <f t="shared" si="9"/>
        <v>832000</v>
      </c>
      <c r="AA60" t="str">
        <f t="shared" si="10"/>
        <v>Medium</v>
      </c>
      <c r="AB60" t="s">
        <v>264</v>
      </c>
      <c r="AC60" t="str">
        <f>INDEX(Emp_Info!$B$1:$G$101,MATCH(HR_Data!$A7,Emp_Info!$B$2:$B$101,0),MATCH(HR_Data!AC$1,Emp_Info!$B$1:$G$1,0))</f>
        <v>Bachelor</v>
      </c>
      <c r="AD60" t="str">
        <f>INDEX(Emp_Info!$A$1:$G$101,MATCH(HR_Data!$A60,Emp_Info!$B$1:$B$101,0),MATCH(HR_Data!AD$1,Emp_Info!$A$1:$G$1,0))</f>
        <v>Chennai</v>
      </c>
      <c r="AE60" t="str">
        <f>INDEX(Emp_Info!$A$1:$G$101,MATCH(HR_Data!$A60,Emp_Info!$B$1:$B$101,0),MATCH(HR_Data!AE$1,Emp_Info!$A$1:$G$1,0))</f>
        <v>South</v>
      </c>
      <c r="AF60" t="str">
        <f t="shared" si="11"/>
        <v>Not Eligible</v>
      </c>
    </row>
    <row r="61" spans="1:32" x14ac:dyDescent="0.35">
      <c r="A61" s="1" t="s">
        <v>147</v>
      </c>
      <c r="B61" s="5">
        <v>32579</v>
      </c>
      <c r="C61" s="1">
        <v>35</v>
      </c>
      <c r="D61" s="5">
        <v>42964</v>
      </c>
      <c r="E61" s="1" t="s">
        <v>22</v>
      </c>
      <c r="F61" s="1" t="s">
        <v>43</v>
      </c>
      <c r="G61" s="1" t="s">
        <v>148</v>
      </c>
      <c r="H61" s="1" t="s">
        <v>25</v>
      </c>
      <c r="I61" s="1" t="s">
        <v>47</v>
      </c>
      <c r="J61" s="6">
        <v>760000</v>
      </c>
      <c r="K61" s="7">
        <v>70000</v>
      </c>
      <c r="L61" s="7">
        <f t="shared" si="6"/>
        <v>830000</v>
      </c>
      <c r="M61" s="1">
        <v>12</v>
      </c>
      <c r="N61" s="8">
        <v>4</v>
      </c>
      <c r="O61" s="9">
        <v>95.8</v>
      </c>
      <c r="P61" s="1">
        <v>2</v>
      </c>
      <c r="Q61" s="1" t="s">
        <v>30</v>
      </c>
      <c r="R61" s="1" t="s">
        <v>31</v>
      </c>
      <c r="S61" s="5">
        <v>44798</v>
      </c>
      <c r="T61" s="1" t="s">
        <v>32</v>
      </c>
      <c r="U61" t="str">
        <f>VLOOKUP(A61,Emp_Info!$B$1:$G$101,3,0)</f>
        <v>aditya</v>
      </c>
      <c r="V61" t="str">
        <f>_xlfn.XLOOKUP(A61,Emp_Info!$B$2:$B$101,Emp_Info!$A$2:$A$101,,0)</f>
        <v>verma</v>
      </c>
      <c r="W61" s="3" t="str">
        <f t="shared" si="7"/>
        <v>Aditya Verma</v>
      </c>
      <c r="X61" t="str">
        <f t="shared" si="8"/>
        <v>AV045</v>
      </c>
      <c r="Y61" t="str">
        <f>HLOOKUP(F61,Dept_Info!$A$2:$I$3,2,0)</f>
        <v>Finance</v>
      </c>
      <c r="Z61">
        <f t="shared" si="9"/>
        <v>830000</v>
      </c>
      <c r="AA61" t="str">
        <f t="shared" si="10"/>
        <v>Medium</v>
      </c>
      <c r="AB61" t="s">
        <v>263</v>
      </c>
      <c r="AC61" t="str">
        <f>INDEX(Emp_Info!$B$1:$G$101,MATCH(HR_Data!$A29,Emp_Info!$B$2:$B$101,0),MATCH(HR_Data!AC$1,Emp_Info!$B$1:$G$1,0))</f>
        <v>Bachelor</v>
      </c>
      <c r="AD61" t="str">
        <f>INDEX(Emp_Info!$A$1:$G$101,MATCH(HR_Data!$A61,Emp_Info!$B$1:$B$101,0),MATCH(HR_Data!AD$1,Emp_Info!$A$1:$G$1,0))</f>
        <v>Mumbai</v>
      </c>
      <c r="AE61" t="str">
        <f>INDEX(Emp_Info!$A$1:$G$101,MATCH(HR_Data!$A61,Emp_Info!$B$1:$B$101,0),MATCH(HR_Data!AE$1,Emp_Info!$A$1:$G$1,0))</f>
        <v>West</v>
      </c>
      <c r="AF61" t="str">
        <f t="shared" si="11"/>
        <v>Not Eligible</v>
      </c>
    </row>
    <row r="62" spans="1:32" x14ac:dyDescent="0.35">
      <c r="A62" s="1" t="s">
        <v>87</v>
      </c>
      <c r="B62" s="5">
        <v>32333</v>
      </c>
      <c r="C62" s="1">
        <v>36</v>
      </c>
      <c r="D62" s="5">
        <v>42981</v>
      </c>
      <c r="E62" s="1" t="s">
        <v>22</v>
      </c>
      <c r="F62" s="1" t="s">
        <v>43</v>
      </c>
      <c r="G62" s="1" t="s">
        <v>88</v>
      </c>
      <c r="H62" s="1" t="s">
        <v>25</v>
      </c>
      <c r="I62" s="1" t="s">
        <v>47</v>
      </c>
      <c r="J62" s="6">
        <v>750000</v>
      </c>
      <c r="K62" s="7">
        <v>68000</v>
      </c>
      <c r="L62" s="7">
        <f t="shared" si="6"/>
        <v>818000</v>
      </c>
      <c r="M62" s="1">
        <v>12</v>
      </c>
      <c r="N62" s="8">
        <v>4</v>
      </c>
      <c r="O62" s="9">
        <v>96.8</v>
      </c>
      <c r="P62" s="1">
        <v>2</v>
      </c>
      <c r="Q62" s="1" t="s">
        <v>30</v>
      </c>
      <c r="R62" s="1" t="s">
        <v>31</v>
      </c>
      <c r="S62" s="5">
        <v>44819</v>
      </c>
      <c r="T62" s="1" t="s">
        <v>32</v>
      </c>
      <c r="U62" t="str">
        <f>VLOOKUP(A62,Emp_Info!$B$1:$G$101,3,0)</f>
        <v>karan</v>
      </c>
      <c r="V62" t="str">
        <f>_xlfn.XLOOKUP(A62,Emp_Info!$B$2:$B$101,Emp_Info!$A$2:$A$101,,0)</f>
        <v>malhotra</v>
      </c>
      <c r="W62" s="3" t="str">
        <f t="shared" si="7"/>
        <v>Karan Malhotra</v>
      </c>
      <c r="X62" t="str">
        <f t="shared" si="8"/>
        <v>KM015</v>
      </c>
      <c r="Y62" t="str">
        <f>HLOOKUP(F62,Dept_Info!$A$2:$I$3,2,0)</f>
        <v>Finance</v>
      </c>
      <c r="Z62">
        <f t="shared" si="9"/>
        <v>818000</v>
      </c>
      <c r="AA62" t="str">
        <f t="shared" si="10"/>
        <v>Medium</v>
      </c>
      <c r="AB62" t="s">
        <v>263</v>
      </c>
      <c r="AC62" t="str">
        <f>INDEX(Emp_Info!$B$1:$G$101,MATCH(HR_Data!$A28,Emp_Info!$B$2:$B$101,0),MATCH(HR_Data!AC$1,Emp_Info!$B$1:$G$1,0))</f>
        <v>Bachelor</v>
      </c>
      <c r="AD62" t="str">
        <f>INDEX(Emp_Info!$A$1:$G$101,MATCH(HR_Data!$A62,Emp_Info!$B$1:$B$101,0),MATCH(HR_Data!AD$1,Emp_Info!$A$1:$G$1,0))</f>
        <v>Delhi</v>
      </c>
      <c r="AE62" t="str">
        <f>INDEX(Emp_Info!$A$1:$G$101,MATCH(HR_Data!$A62,Emp_Info!$B$1:$B$101,0),MATCH(HR_Data!AE$1,Emp_Info!$A$1:$G$1,0))</f>
        <v>North</v>
      </c>
      <c r="AF62" t="str">
        <f t="shared" si="11"/>
        <v>Not Eligible</v>
      </c>
    </row>
    <row r="63" spans="1:32" x14ac:dyDescent="0.35">
      <c r="A63" s="1" t="s">
        <v>195</v>
      </c>
      <c r="B63" s="5">
        <v>32512</v>
      </c>
      <c r="C63" s="1">
        <v>35</v>
      </c>
      <c r="D63" s="5">
        <v>43216</v>
      </c>
      <c r="E63" s="1" t="s">
        <v>69</v>
      </c>
      <c r="F63" s="1" t="s">
        <v>43</v>
      </c>
      <c r="G63" s="1" t="s">
        <v>196</v>
      </c>
      <c r="H63" s="1" t="s">
        <v>25</v>
      </c>
      <c r="I63" s="1" t="s">
        <v>47</v>
      </c>
      <c r="J63" s="6">
        <v>740000</v>
      </c>
      <c r="K63" s="7">
        <v>68000</v>
      </c>
      <c r="L63" s="7">
        <f t="shared" si="6"/>
        <v>808000</v>
      </c>
      <c r="M63" s="1">
        <v>12</v>
      </c>
      <c r="N63" s="8">
        <v>4</v>
      </c>
      <c r="O63" s="9">
        <v>95.6</v>
      </c>
      <c r="P63" s="1">
        <v>2</v>
      </c>
      <c r="Q63" s="1" t="s">
        <v>30</v>
      </c>
      <c r="R63" s="1" t="s">
        <v>31</v>
      </c>
      <c r="S63" s="5">
        <v>45026</v>
      </c>
      <c r="T63" s="1" t="s">
        <v>32</v>
      </c>
      <c r="U63" t="str">
        <f>VLOOKUP(A63,Emp_Info!$B$1:$G$101,3,0)</f>
        <v>deepak</v>
      </c>
      <c r="V63" t="str">
        <f>_xlfn.XLOOKUP(A63,Emp_Info!$B$2:$B$101,Emp_Info!$A$2:$A$101,,0)</f>
        <v>yadav</v>
      </c>
      <c r="W63" s="3" t="str">
        <f t="shared" si="7"/>
        <v>Deepak Yadav</v>
      </c>
      <c r="X63" t="str">
        <f t="shared" si="8"/>
        <v>DY069</v>
      </c>
      <c r="Y63" t="str">
        <f>HLOOKUP(F63,Dept_Info!$A$2:$I$3,2,0)</f>
        <v>Finance</v>
      </c>
      <c r="Z63">
        <f t="shared" si="9"/>
        <v>808000</v>
      </c>
      <c r="AA63" t="str">
        <f t="shared" si="10"/>
        <v>Medium</v>
      </c>
      <c r="AB63" t="s">
        <v>263</v>
      </c>
      <c r="AC63" t="str">
        <f>INDEX(Emp_Info!$B$1:$G$101,MATCH(HR_Data!$A30,Emp_Info!$B$2:$B$101,0),MATCH(HR_Data!AC$1,Emp_Info!$B$1:$G$1,0))</f>
        <v>Bachelor</v>
      </c>
      <c r="AD63" t="str">
        <f>INDEX(Emp_Info!$A$1:$G$101,MATCH(HR_Data!$A63,Emp_Info!$B$1:$B$101,0),MATCH(HR_Data!AD$1,Emp_Info!$A$1:$G$1,0))</f>
        <v>Delhi</v>
      </c>
      <c r="AE63" t="str">
        <f>INDEX(Emp_Info!$A$1:$G$101,MATCH(HR_Data!$A63,Emp_Info!$B$1:$B$101,0),MATCH(HR_Data!AE$1,Emp_Info!$A$1:$G$1,0))</f>
        <v>North</v>
      </c>
      <c r="AF63" t="str">
        <f t="shared" si="11"/>
        <v>Not Eligible</v>
      </c>
    </row>
    <row r="64" spans="1:32" x14ac:dyDescent="0.35">
      <c r="A64" s="1" t="s">
        <v>121</v>
      </c>
      <c r="B64" s="5">
        <v>33769</v>
      </c>
      <c r="C64" s="1">
        <v>32</v>
      </c>
      <c r="D64" s="5">
        <v>43940</v>
      </c>
      <c r="E64" s="1" t="s">
        <v>421</v>
      </c>
      <c r="F64" s="1" t="s">
        <v>23</v>
      </c>
      <c r="G64" s="1" t="s">
        <v>122</v>
      </c>
      <c r="H64" s="1" t="s">
        <v>25</v>
      </c>
      <c r="I64" s="1" t="s">
        <v>28</v>
      </c>
      <c r="J64" s="6">
        <v>740000</v>
      </c>
      <c r="K64" s="7">
        <v>68000</v>
      </c>
      <c r="L64" s="7">
        <f t="shared" si="6"/>
        <v>808000</v>
      </c>
      <c r="M64" s="1">
        <v>8</v>
      </c>
      <c r="N64" s="8">
        <v>4.2</v>
      </c>
      <c r="O64" s="9">
        <v>97.2</v>
      </c>
      <c r="P64" s="1">
        <v>2</v>
      </c>
      <c r="Q64" s="1" t="s">
        <v>30</v>
      </c>
      <c r="R64" s="1" t="s">
        <v>31</v>
      </c>
      <c r="S64" s="1" t="s">
        <v>50</v>
      </c>
      <c r="T64" s="1" t="s">
        <v>32</v>
      </c>
      <c r="U64" t="str">
        <f>VLOOKUP(A64,Emp_Info!$B$1:$G$101,3,0)</f>
        <v>tanvi</v>
      </c>
      <c r="V64" t="str">
        <f>_xlfn.XLOOKUP(A64,Emp_Info!$B$2:$B$101,Emp_Info!$A$2:$A$101,,0)</f>
        <v>deshpande</v>
      </c>
      <c r="W64" s="3" t="str">
        <f t="shared" si="7"/>
        <v>Tanvi Deshpande</v>
      </c>
      <c r="X64" t="str">
        <f t="shared" si="8"/>
        <v>TD032</v>
      </c>
      <c r="Y64" t="str">
        <f>HLOOKUP(F64,Dept_Info!$A$2:$I$3,2,0)</f>
        <v>IT</v>
      </c>
      <c r="Z64">
        <f t="shared" si="9"/>
        <v>808000</v>
      </c>
      <c r="AA64" t="str">
        <f t="shared" si="10"/>
        <v>Medium</v>
      </c>
      <c r="AB64" t="s">
        <v>264</v>
      </c>
      <c r="AC64" t="str">
        <f>INDEX(Emp_Info!$B$1:$G$101,MATCH(HR_Data!$A60,Emp_Info!$B$2:$B$101,0),MATCH(HR_Data!AC$1,Emp_Info!$B$1:$G$1,0))</f>
        <v>Bachelor</v>
      </c>
      <c r="AD64" t="str">
        <f>INDEX(Emp_Info!$A$1:$G$101,MATCH(HR_Data!$A64,Emp_Info!$B$1:$B$101,0),MATCH(HR_Data!AD$1,Emp_Info!$A$1:$G$1,0))</f>
        <v>Mumbai</v>
      </c>
      <c r="AE64" t="str">
        <f>INDEX(Emp_Info!$A$1:$G$101,MATCH(HR_Data!$A64,Emp_Info!$B$1:$B$101,0),MATCH(HR_Data!AE$1,Emp_Info!$A$1:$G$1,0))</f>
        <v>West</v>
      </c>
      <c r="AF64" t="str">
        <f t="shared" si="11"/>
        <v>Not Eligible</v>
      </c>
    </row>
    <row r="65" spans="1:32" x14ac:dyDescent="0.35">
      <c r="A65" s="1" t="s">
        <v>185</v>
      </c>
      <c r="B65" s="5">
        <v>33880</v>
      </c>
      <c r="C65" s="1">
        <v>32</v>
      </c>
      <c r="D65" s="5">
        <v>44164</v>
      </c>
      <c r="E65" s="1" t="s">
        <v>34</v>
      </c>
      <c r="F65" s="1" t="s">
        <v>43</v>
      </c>
      <c r="G65" s="1" t="s">
        <v>186</v>
      </c>
      <c r="H65" s="1" t="s">
        <v>25</v>
      </c>
      <c r="I65" s="1" t="s">
        <v>47</v>
      </c>
      <c r="J65" s="6">
        <v>730000</v>
      </c>
      <c r="K65" s="7">
        <v>68000</v>
      </c>
      <c r="L65" s="7">
        <f t="shared" si="6"/>
        <v>798000</v>
      </c>
      <c r="M65" s="1">
        <v>8</v>
      </c>
      <c r="N65" s="8">
        <v>4</v>
      </c>
      <c r="O65" s="9">
        <v>95.9</v>
      </c>
      <c r="P65" s="1">
        <v>2</v>
      </c>
      <c r="Q65" s="1" t="s">
        <v>30</v>
      </c>
      <c r="R65" s="1" t="s">
        <v>31</v>
      </c>
      <c r="S65" s="1" t="s">
        <v>50</v>
      </c>
      <c r="T65" s="1" t="s">
        <v>32</v>
      </c>
      <c r="U65" t="str">
        <f>VLOOKUP(A65,Emp_Info!$B$1:$G$101,3,0)</f>
        <v>megha</v>
      </c>
      <c r="V65" t="str">
        <f>_xlfn.XLOOKUP(A65,Emp_Info!$B$2:$B$101,Emp_Info!$A$2:$A$101,,0)</f>
        <v>tiwari</v>
      </c>
      <c r="W65" s="3" t="str">
        <f t="shared" si="7"/>
        <v>Megha Tiwari</v>
      </c>
      <c r="X65" t="str">
        <f t="shared" si="8"/>
        <v>MT064</v>
      </c>
      <c r="Y65" t="str">
        <f>HLOOKUP(F65,Dept_Info!$A$2:$I$3,2,0)</f>
        <v>Finance</v>
      </c>
      <c r="Z65">
        <f t="shared" si="9"/>
        <v>798000</v>
      </c>
      <c r="AA65" t="str">
        <f t="shared" si="10"/>
        <v>Medium</v>
      </c>
      <c r="AB65" t="s">
        <v>264</v>
      </c>
      <c r="AC65" t="str">
        <f>INDEX(Emp_Info!$B$1:$G$101,MATCH(HR_Data!$A34,Emp_Info!$B$2:$B$101,0),MATCH(HR_Data!AC$1,Emp_Info!$B$1:$G$1,0))</f>
        <v>Bachelor</v>
      </c>
      <c r="AD65" t="str">
        <f>INDEX(Emp_Info!$A$1:$G$101,MATCH(HR_Data!$A65,Emp_Info!$B$1:$B$101,0),MATCH(HR_Data!AD$1,Emp_Info!$A$1:$G$1,0))</f>
        <v>Hyderabad</v>
      </c>
      <c r="AE65" t="str">
        <f>INDEX(Emp_Info!$A$1:$G$101,MATCH(HR_Data!$A65,Emp_Info!$B$1:$B$101,0),MATCH(HR_Data!AE$1,Emp_Info!$A$1:$G$1,0))</f>
        <v>South</v>
      </c>
      <c r="AF65" t="str">
        <f t="shared" si="11"/>
        <v>Not Eligible</v>
      </c>
    </row>
    <row r="66" spans="1:32" x14ac:dyDescent="0.35">
      <c r="A66" s="1" t="s">
        <v>163</v>
      </c>
      <c r="B66" s="5">
        <v>33218</v>
      </c>
      <c r="C66" s="1">
        <v>34</v>
      </c>
      <c r="D66" s="5">
        <v>43542</v>
      </c>
      <c r="E66" s="1" t="s">
        <v>34</v>
      </c>
      <c r="F66" s="1" t="s">
        <v>58</v>
      </c>
      <c r="G66" s="1" t="s">
        <v>164</v>
      </c>
      <c r="H66" s="1" t="s">
        <v>25</v>
      </c>
      <c r="I66" s="1" t="s">
        <v>61</v>
      </c>
      <c r="J66" s="6">
        <v>720000</v>
      </c>
      <c r="K66" s="7">
        <v>68000</v>
      </c>
      <c r="L66" s="7">
        <f t="shared" ref="L66:L97" si="12">SUM(J66:K66)</f>
        <v>788000</v>
      </c>
      <c r="M66" s="1">
        <v>10</v>
      </c>
      <c r="N66" s="8">
        <v>4</v>
      </c>
      <c r="O66" s="9">
        <v>95.4</v>
      </c>
      <c r="P66" s="1">
        <v>2</v>
      </c>
      <c r="Q66" s="1" t="s">
        <v>30</v>
      </c>
      <c r="R66" s="1" t="s">
        <v>49</v>
      </c>
      <c r="S66" s="1" t="s">
        <v>50</v>
      </c>
      <c r="T66" s="1" t="s">
        <v>32</v>
      </c>
      <c r="U66" t="str">
        <f>VLOOKUP(A66,Emp_Info!$B$1:$G$101,3,0)</f>
        <v>vivek</v>
      </c>
      <c r="V66" t="str">
        <f>_xlfn.XLOOKUP(A66,Emp_Info!$B$2:$B$101,Emp_Info!$A$2:$A$101,,0)</f>
        <v>nair</v>
      </c>
      <c r="W66" s="3" t="str">
        <f t="shared" ref="W66:W97" si="13">PROPER(_xlfn.CONCAT(U66," ",V66))</f>
        <v>Vivek Nair</v>
      </c>
      <c r="X66" t="str">
        <f t="shared" ref="X66:X101" si="14">UPPER(_xlfn.CONCAT(LEFT(U66),LEFT(V66),RIGHT(A66,3)))</f>
        <v>VN053</v>
      </c>
      <c r="Y66" t="str">
        <f>HLOOKUP(F66,Dept_Info!$A$2:$I$3,2,0)</f>
        <v>Marketing</v>
      </c>
      <c r="Z66">
        <f t="shared" ref="Z66:Z97" si="15">IF(Y66="Sales",L66+(L66*$AG$6),L66)</f>
        <v>788000</v>
      </c>
      <c r="AA66" t="str">
        <f t="shared" ref="AA66:AA101" si="16">IF(J66&lt;700000,"Low",IF(AND(J66&gt;700000,J66&lt;900000),"Medium","High"))</f>
        <v>Medium</v>
      </c>
      <c r="AB66" t="s">
        <v>263</v>
      </c>
      <c r="AC66" t="str">
        <f>INDEX(Emp_Info!$B$1:$G$101,MATCH(HR_Data!$A81,Emp_Info!$B$2:$B$101,0),MATCH(HR_Data!AC$1,Emp_Info!$B$1:$G$1,0))</f>
        <v>Bachelor</v>
      </c>
      <c r="AD66" t="str">
        <f>INDEX(Emp_Info!$A$1:$G$101,MATCH(HR_Data!$A66,Emp_Info!$B$1:$B$101,0),MATCH(HR_Data!AD$1,Emp_Info!$A$1:$G$1,0))</f>
        <v>Delhi</v>
      </c>
      <c r="AE66" t="str">
        <f>INDEX(Emp_Info!$A$1:$G$101,MATCH(HR_Data!$A66,Emp_Info!$B$1:$B$101,0),MATCH(HR_Data!AE$1,Emp_Info!$A$1:$G$1,0))</f>
        <v>North</v>
      </c>
      <c r="AF66" t="str">
        <f t="shared" ref="AF66:AF101" si="17">IF(AND(P66&gt;=3,M66&gt;6),"Eligible","Not Eligible")</f>
        <v>Not Eligible</v>
      </c>
    </row>
    <row r="67" spans="1:32" x14ac:dyDescent="0.35">
      <c r="A67" s="1" t="s">
        <v>213</v>
      </c>
      <c r="B67" s="5">
        <v>34238</v>
      </c>
      <c r="C67" s="1">
        <v>31</v>
      </c>
      <c r="D67" s="5">
        <v>44367</v>
      </c>
      <c r="E67" s="1" t="s">
        <v>42</v>
      </c>
      <c r="F67" s="1" t="s">
        <v>52</v>
      </c>
      <c r="G67" s="1" t="s">
        <v>214</v>
      </c>
      <c r="H67" s="1" t="s">
        <v>25</v>
      </c>
      <c r="I67" s="1" t="s">
        <v>55</v>
      </c>
      <c r="J67" s="6">
        <v>720000</v>
      </c>
      <c r="K67" s="7">
        <v>68000</v>
      </c>
      <c r="L67" s="7">
        <f t="shared" si="12"/>
        <v>788000</v>
      </c>
      <c r="M67" s="1">
        <v>6</v>
      </c>
      <c r="N67" s="8">
        <v>4.2</v>
      </c>
      <c r="O67" s="9">
        <v>96.8</v>
      </c>
      <c r="P67" s="1">
        <v>2</v>
      </c>
      <c r="Q67" s="1" t="s">
        <v>30</v>
      </c>
      <c r="R67" s="1" t="s">
        <v>31</v>
      </c>
      <c r="S67" s="1" t="s">
        <v>50</v>
      </c>
      <c r="T67" s="1" t="s">
        <v>32</v>
      </c>
      <c r="U67" t="str">
        <f>VLOOKUP(A67,Emp_Info!$B$1:$G$101,3,0)</f>
        <v>archana</v>
      </c>
      <c r="V67" t="str">
        <f>_xlfn.XLOOKUP(A67,Emp_Info!$B$2:$B$101,Emp_Info!$A$2:$A$101,,0)</f>
        <v>bhatt</v>
      </c>
      <c r="W67" s="3" t="str">
        <f t="shared" si="13"/>
        <v>Archana Bhatt</v>
      </c>
      <c r="X67" t="str">
        <f t="shared" si="14"/>
        <v>AB078</v>
      </c>
      <c r="Y67" t="str">
        <f>HLOOKUP(F67,Dept_Info!$A$2:$I$3,2,0)</f>
        <v>Admin</v>
      </c>
      <c r="Z67">
        <f t="shared" si="15"/>
        <v>788000</v>
      </c>
      <c r="AA67" t="str">
        <f t="shared" si="16"/>
        <v>Medium</v>
      </c>
      <c r="AB67" t="s">
        <v>264</v>
      </c>
      <c r="AC67" t="str">
        <f>INDEX(Emp_Info!$B$1:$G$101,MATCH(HR_Data!$A11,Emp_Info!$B$2:$B$101,0),MATCH(HR_Data!AC$1,Emp_Info!$B$1:$G$1,0))</f>
        <v>Bachelor</v>
      </c>
      <c r="AD67" t="str">
        <f>INDEX(Emp_Info!$A$1:$G$101,MATCH(HR_Data!$A67,Emp_Info!$B$1:$B$101,0),MATCH(HR_Data!AD$1,Emp_Info!$A$1:$G$1,0))</f>
        <v>Pune</v>
      </c>
      <c r="AE67" t="str">
        <f>INDEX(Emp_Info!$A$1:$G$101,MATCH(HR_Data!$A67,Emp_Info!$B$1:$B$101,0),MATCH(HR_Data!AE$1,Emp_Info!$A$1:$G$1,0))</f>
        <v>West</v>
      </c>
      <c r="AF67" t="str">
        <f t="shared" si="17"/>
        <v>Not Eligible</v>
      </c>
    </row>
    <row r="68" spans="1:32" x14ac:dyDescent="0.35">
      <c r="A68" s="1" t="s">
        <v>245</v>
      </c>
      <c r="B68" s="5">
        <v>34436</v>
      </c>
      <c r="C68" s="1">
        <v>30</v>
      </c>
      <c r="D68" s="5">
        <v>44892</v>
      </c>
      <c r="E68" s="1" t="s">
        <v>42</v>
      </c>
      <c r="F68" s="1" t="s">
        <v>58</v>
      </c>
      <c r="G68" s="1" t="s">
        <v>246</v>
      </c>
      <c r="H68" s="1" t="s">
        <v>25</v>
      </c>
      <c r="I68" s="1" t="s">
        <v>61</v>
      </c>
      <c r="J68" s="6">
        <v>720000</v>
      </c>
      <c r="K68" s="7">
        <v>68000</v>
      </c>
      <c r="L68" s="7">
        <f t="shared" si="12"/>
        <v>788000</v>
      </c>
      <c r="M68" s="1">
        <v>5</v>
      </c>
      <c r="N68" s="8">
        <v>4</v>
      </c>
      <c r="O68" s="9">
        <v>95.7</v>
      </c>
      <c r="P68" s="1">
        <v>2</v>
      </c>
      <c r="Q68" s="1" t="s">
        <v>30</v>
      </c>
      <c r="R68" s="1" t="s">
        <v>49</v>
      </c>
      <c r="S68" s="1" t="s">
        <v>50</v>
      </c>
      <c r="T68" s="1" t="s">
        <v>32</v>
      </c>
      <c r="U68" t="str">
        <f>VLOOKUP(A68,Emp_Info!$B$1:$G$101,3,0)</f>
        <v>shraddha</v>
      </c>
      <c r="V68" t="str">
        <f>_xlfn.XLOOKUP(A68,Emp_Info!$B$2:$B$101,Emp_Info!$A$2:$A$101,,0)</f>
        <v>joshi</v>
      </c>
      <c r="W68" s="3" t="str">
        <f t="shared" si="13"/>
        <v>Shraddha Joshi</v>
      </c>
      <c r="X68" t="str">
        <f t="shared" si="14"/>
        <v>SJ094</v>
      </c>
      <c r="Y68" t="str">
        <f>HLOOKUP(F68,Dept_Info!$A$2:$I$3,2,0)</f>
        <v>Marketing</v>
      </c>
      <c r="Z68">
        <f t="shared" si="15"/>
        <v>788000</v>
      </c>
      <c r="AA68" t="str">
        <f t="shared" si="16"/>
        <v>Medium</v>
      </c>
      <c r="AB68" t="s">
        <v>264</v>
      </c>
      <c r="AC68" t="str">
        <f>INDEX(Emp_Info!$B$1:$G$101,MATCH(HR_Data!$A85,Emp_Info!$B$2:$B$101,0),MATCH(HR_Data!AC$1,Emp_Info!$B$1:$G$1,0))</f>
        <v>Bachelor</v>
      </c>
      <c r="AD68" t="str">
        <f>INDEX(Emp_Info!$A$1:$G$101,MATCH(HR_Data!$A68,Emp_Info!$B$1:$B$101,0),MATCH(HR_Data!AD$1,Emp_Info!$A$1:$G$1,0))</f>
        <v>Mumbai</v>
      </c>
      <c r="AE68" t="str">
        <f>INDEX(Emp_Info!$A$1:$G$101,MATCH(HR_Data!$A68,Emp_Info!$B$1:$B$101,0),MATCH(HR_Data!AE$1,Emp_Info!$A$1:$G$1,0))</f>
        <v>West</v>
      </c>
      <c r="AF68" t="str">
        <f t="shared" si="17"/>
        <v>Not Eligible</v>
      </c>
    </row>
    <row r="69" spans="1:32" x14ac:dyDescent="0.35">
      <c r="A69" s="1" t="s">
        <v>62</v>
      </c>
      <c r="B69" s="5">
        <v>33353</v>
      </c>
      <c r="C69" s="1">
        <v>33</v>
      </c>
      <c r="D69" s="5">
        <v>43730</v>
      </c>
      <c r="E69" s="1" t="s">
        <v>34</v>
      </c>
      <c r="F69" s="1" t="s">
        <v>23</v>
      </c>
      <c r="G69" s="1" t="s">
        <v>63</v>
      </c>
      <c r="H69" s="1" t="s">
        <v>25</v>
      </c>
      <c r="I69" s="1" t="s">
        <v>28</v>
      </c>
      <c r="J69" s="6">
        <v>720000</v>
      </c>
      <c r="K69" s="7">
        <v>65000</v>
      </c>
      <c r="L69" s="7">
        <f t="shared" si="12"/>
        <v>785000</v>
      </c>
      <c r="M69" s="1">
        <v>9</v>
      </c>
      <c r="N69" s="8">
        <v>4.0999999999999996</v>
      </c>
      <c r="O69" s="9">
        <v>95.8</v>
      </c>
      <c r="P69" s="1">
        <v>2</v>
      </c>
      <c r="Q69" s="1" t="s">
        <v>30</v>
      </c>
      <c r="R69" s="1" t="s">
        <v>31</v>
      </c>
      <c r="S69" s="1" t="s">
        <v>50</v>
      </c>
      <c r="T69" s="1" t="s">
        <v>32</v>
      </c>
      <c r="U69" t="str">
        <f>VLOOKUP(A69,Emp_Info!$B$1:$G$101,3,0)</f>
        <v>anita</v>
      </c>
      <c r="V69" t="str">
        <f>_xlfn.XLOOKUP(A69,Emp_Info!$B$2:$B$101,Emp_Info!$A$2:$A$101,,0)</f>
        <v>desai</v>
      </c>
      <c r="W69" s="3" t="str">
        <f t="shared" si="13"/>
        <v>Anita Desai</v>
      </c>
      <c r="X69" t="str">
        <f t="shared" si="14"/>
        <v>AD006</v>
      </c>
      <c r="Y69" t="str">
        <f>HLOOKUP(F69,Dept_Info!$A$2:$I$3,2,0)</f>
        <v>IT</v>
      </c>
      <c r="Z69">
        <f t="shared" si="15"/>
        <v>785000</v>
      </c>
      <c r="AA69" t="str">
        <f t="shared" si="16"/>
        <v>Medium</v>
      </c>
      <c r="AB69" t="s">
        <v>264</v>
      </c>
      <c r="AC69" t="str">
        <f>INDEX(Emp_Info!$B$1:$G$101,MATCH(HR_Data!$A57,Emp_Info!$B$2:$B$101,0),MATCH(HR_Data!AC$1,Emp_Info!$B$1:$G$1,0))</f>
        <v>Bachelor</v>
      </c>
      <c r="AD69" t="str">
        <f>INDEX(Emp_Info!$A$1:$G$101,MATCH(HR_Data!$A69,Emp_Info!$B$1:$B$101,0),MATCH(HR_Data!AD$1,Emp_Info!$A$1:$G$1,0))</f>
        <v>Mumbai</v>
      </c>
      <c r="AE69" t="str">
        <f>INDEX(Emp_Info!$A$1:$G$101,MATCH(HR_Data!$A69,Emp_Info!$B$1:$B$101,0),MATCH(HR_Data!AE$1,Emp_Info!$A$1:$G$1,0))</f>
        <v>West</v>
      </c>
      <c r="AF69" t="str">
        <f t="shared" si="17"/>
        <v>Not Eligible</v>
      </c>
    </row>
    <row r="70" spans="1:32" x14ac:dyDescent="0.35">
      <c r="A70" s="1" t="s">
        <v>113</v>
      </c>
      <c r="B70" s="5">
        <v>33354</v>
      </c>
      <c r="C70" s="1">
        <v>33</v>
      </c>
      <c r="D70" s="5">
        <v>43761</v>
      </c>
      <c r="E70" s="1" t="s">
        <v>22</v>
      </c>
      <c r="F70" s="1" t="s">
        <v>43</v>
      </c>
      <c r="G70" s="1" t="s">
        <v>114</v>
      </c>
      <c r="H70" s="1" t="s">
        <v>25</v>
      </c>
      <c r="I70" s="1" t="s">
        <v>47</v>
      </c>
      <c r="J70" s="6">
        <v>710000</v>
      </c>
      <c r="K70" s="7">
        <v>65000</v>
      </c>
      <c r="L70" s="7">
        <f t="shared" si="12"/>
        <v>775000</v>
      </c>
      <c r="M70" s="1">
        <v>9</v>
      </c>
      <c r="N70" s="8">
        <v>4</v>
      </c>
      <c r="O70" s="9">
        <v>95.7</v>
      </c>
      <c r="P70" s="1">
        <v>2</v>
      </c>
      <c r="Q70" s="1" t="s">
        <v>30</v>
      </c>
      <c r="R70" s="1" t="s">
        <v>31</v>
      </c>
      <c r="S70" s="1" t="s">
        <v>50</v>
      </c>
      <c r="T70" s="1" t="s">
        <v>32</v>
      </c>
      <c r="U70" t="str">
        <f>VLOOKUP(A70,Emp_Info!$B$1:$G$101,3,0)</f>
        <v>preeti</v>
      </c>
      <c r="V70" t="str">
        <f>_xlfn.XLOOKUP(A70,Emp_Info!$B$2:$B$101,Emp_Info!$A$2:$A$101,,0)</f>
        <v>mishra</v>
      </c>
      <c r="W70" s="3" t="str">
        <f t="shared" si="13"/>
        <v>Preeti Mishra</v>
      </c>
      <c r="X70" t="str">
        <f t="shared" si="14"/>
        <v>PM028</v>
      </c>
      <c r="Y70" t="str">
        <f>HLOOKUP(F70,Dept_Info!$A$2:$I$3,2,0)</f>
        <v>Finance</v>
      </c>
      <c r="Z70">
        <f t="shared" si="15"/>
        <v>775000</v>
      </c>
      <c r="AA70" t="str">
        <f t="shared" si="16"/>
        <v>Medium</v>
      </c>
      <c r="AB70" t="s">
        <v>264</v>
      </c>
      <c r="AC70" t="str">
        <f>INDEX(Emp_Info!$B$1:$G$101,MATCH(HR_Data!$A33,Emp_Info!$B$2:$B$101,0),MATCH(HR_Data!AC$1,Emp_Info!$B$1:$G$1,0))</f>
        <v>Bachelor</v>
      </c>
      <c r="AD70" t="str">
        <f>INDEX(Emp_Info!$A$1:$G$101,MATCH(HR_Data!$A70,Emp_Info!$B$1:$B$101,0),MATCH(HR_Data!AD$1,Emp_Info!$A$1:$G$1,0))</f>
        <v>Chennai</v>
      </c>
      <c r="AE70" t="str">
        <f>INDEX(Emp_Info!$A$1:$G$101,MATCH(HR_Data!$A70,Emp_Info!$B$1:$B$101,0),MATCH(HR_Data!AE$1,Emp_Info!$A$1:$G$1,0))</f>
        <v>South</v>
      </c>
      <c r="AF70" t="str">
        <f t="shared" si="17"/>
        <v>Not Eligible</v>
      </c>
    </row>
    <row r="71" spans="1:32" x14ac:dyDescent="0.35">
      <c r="A71" s="1" t="s">
        <v>253</v>
      </c>
      <c r="B71" s="5">
        <v>34213</v>
      </c>
      <c r="C71" s="1">
        <v>31</v>
      </c>
      <c r="D71" s="5">
        <v>44393</v>
      </c>
      <c r="E71" s="1" t="s">
        <v>22</v>
      </c>
      <c r="F71" s="1" t="s">
        <v>35</v>
      </c>
      <c r="G71" s="1" t="s">
        <v>254</v>
      </c>
      <c r="H71" s="1" t="s">
        <v>25</v>
      </c>
      <c r="I71" s="1" t="s">
        <v>39</v>
      </c>
      <c r="J71" s="6">
        <v>690000</v>
      </c>
      <c r="K71" s="7">
        <v>64000</v>
      </c>
      <c r="L71" s="7">
        <f t="shared" si="12"/>
        <v>754000</v>
      </c>
      <c r="M71" s="1">
        <v>6</v>
      </c>
      <c r="N71" s="8">
        <v>4.0999999999999996</v>
      </c>
      <c r="O71" s="9">
        <v>96.4</v>
      </c>
      <c r="P71" s="1">
        <v>2</v>
      </c>
      <c r="Q71" s="1" t="s">
        <v>30</v>
      </c>
      <c r="R71" s="1" t="s">
        <v>31</v>
      </c>
      <c r="S71" s="1" t="s">
        <v>50</v>
      </c>
      <c r="T71" s="1" t="s">
        <v>32</v>
      </c>
      <c r="U71" t="str">
        <f>VLOOKUP(A71,Emp_Info!$B$1:$G$101,3,0)</f>
        <v>tara</v>
      </c>
      <c r="V71" t="str">
        <f>_xlfn.XLOOKUP(A71,Emp_Info!$B$2:$B$101,Emp_Info!$A$2:$A$101,,0)</f>
        <v>desai</v>
      </c>
      <c r="W71" s="3" t="str">
        <f t="shared" si="13"/>
        <v>Tara Desai</v>
      </c>
      <c r="X71" t="str">
        <f t="shared" si="14"/>
        <v>TD098</v>
      </c>
      <c r="Y71" t="str">
        <f>HLOOKUP(F71,Dept_Info!$A$2:$I$3,2,0)</f>
        <v>HR</v>
      </c>
      <c r="Z71">
        <f t="shared" si="15"/>
        <v>754000</v>
      </c>
      <c r="AA71" t="str">
        <f t="shared" si="16"/>
        <v>Low</v>
      </c>
      <c r="AB71" t="s">
        <v>264</v>
      </c>
      <c r="AC71" t="str">
        <f>INDEX(Emp_Info!$B$1:$G$101,MATCH(HR_Data!$A44,Emp_Info!$B$2:$B$101,0),MATCH(HR_Data!AC$1,Emp_Info!$B$1:$G$1,0))</f>
        <v>Master</v>
      </c>
      <c r="AD71" t="str">
        <f>INDEX(Emp_Info!$A$1:$G$101,MATCH(HR_Data!$A71,Emp_Info!$B$1:$B$101,0),MATCH(HR_Data!AD$1,Emp_Info!$A$1:$G$1,0))</f>
        <v>Chennai</v>
      </c>
      <c r="AE71" t="str">
        <f>INDEX(Emp_Info!$A$1:$G$101,MATCH(HR_Data!$A71,Emp_Info!$B$1:$B$101,0),MATCH(HR_Data!AE$1,Emp_Info!$A$1:$G$1,0))</f>
        <v>South</v>
      </c>
      <c r="AF71" t="str">
        <f t="shared" si="17"/>
        <v>Not Eligible</v>
      </c>
    </row>
    <row r="72" spans="1:32" x14ac:dyDescent="0.35">
      <c r="A72" s="1" t="s">
        <v>145</v>
      </c>
      <c r="B72" s="5">
        <v>33511</v>
      </c>
      <c r="C72" s="1">
        <v>33</v>
      </c>
      <c r="D72" s="5">
        <v>43762</v>
      </c>
      <c r="E72" s="1" t="s">
        <v>42</v>
      </c>
      <c r="F72" s="1" t="s">
        <v>35</v>
      </c>
      <c r="G72" s="1" t="s">
        <v>146</v>
      </c>
      <c r="H72" s="1" t="s">
        <v>25</v>
      </c>
      <c r="I72" s="1" t="s">
        <v>39</v>
      </c>
      <c r="J72" s="6">
        <v>690000</v>
      </c>
      <c r="K72" s="7">
        <v>62000</v>
      </c>
      <c r="L72" s="7">
        <f t="shared" si="12"/>
        <v>752000</v>
      </c>
      <c r="M72" s="1">
        <v>9</v>
      </c>
      <c r="N72" s="8">
        <v>4.0999999999999996</v>
      </c>
      <c r="O72" s="9">
        <v>96.3</v>
      </c>
      <c r="P72" s="1">
        <v>2</v>
      </c>
      <c r="Q72" s="1" t="s">
        <v>30</v>
      </c>
      <c r="R72" s="1" t="s">
        <v>31</v>
      </c>
      <c r="S72" s="1" t="s">
        <v>50</v>
      </c>
      <c r="T72" s="1" t="s">
        <v>32</v>
      </c>
      <c r="U72" t="str">
        <f>VLOOKUP(A72,Emp_Info!$B$1:$G$101,3,0)</f>
        <v>priyanka</v>
      </c>
      <c r="V72" t="str">
        <f>_xlfn.XLOOKUP(A72,Emp_Info!$B$2:$B$101,Emp_Info!$A$2:$A$101,,0)</f>
        <v>gupta</v>
      </c>
      <c r="W72" s="3" t="str">
        <f t="shared" si="13"/>
        <v>Priyanka Gupta</v>
      </c>
      <c r="X72" t="str">
        <f t="shared" si="14"/>
        <v>PG044</v>
      </c>
      <c r="Y72" t="str">
        <f>HLOOKUP(F72,Dept_Info!$A$2:$I$3,2,0)</f>
        <v>HR</v>
      </c>
      <c r="Z72">
        <f t="shared" si="15"/>
        <v>752000</v>
      </c>
      <c r="AA72" t="str">
        <f t="shared" si="16"/>
        <v>Low</v>
      </c>
      <c r="AB72" t="s">
        <v>264</v>
      </c>
      <c r="AC72" t="str">
        <f>INDEX(Emp_Info!$B$1:$G$101,MATCH(HR_Data!$A36,Emp_Info!$B$2:$B$101,0),MATCH(HR_Data!AC$1,Emp_Info!$B$1:$G$1,0))</f>
        <v>Master</v>
      </c>
      <c r="AD72" t="str">
        <f>INDEX(Emp_Info!$A$1:$G$101,MATCH(HR_Data!$A72,Emp_Info!$B$1:$B$101,0),MATCH(HR_Data!AD$1,Emp_Info!$A$1:$G$1,0))</f>
        <v>Bangalore</v>
      </c>
      <c r="AE72" t="str">
        <f>INDEX(Emp_Info!$A$1:$G$101,MATCH(HR_Data!$A72,Emp_Info!$B$1:$B$101,0),MATCH(HR_Data!AE$1,Emp_Info!$A$1:$G$1,0))</f>
        <v>South</v>
      </c>
      <c r="AF72" t="str">
        <f t="shared" si="17"/>
        <v>Not Eligible</v>
      </c>
    </row>
    <row r="73" spans="1:32" x14ac:dyDescent="0.35">
      <c r="A73" s="1" t="s">
        <v>81</v>
      </c>
      <c r="B73" s="5">
        <v>33377</v>
      </c>
      <c r="C73" s="1">
        <v>33</v>
      </c>
      <c r="D73" s="5">
        <v>43565</v>
      </c>
      <c r="E73" s="1" t="s">
        <v>42</v>
      </c>
      <c r="F73" s="1" t="s">
        <v>58</v>
      </c>
      <c r="G73" s="1" t="s">
        <v>82</v>
      </c>
      <c r="H73" s="1" t="s">
        <v>25</v>
      </c>
      <c r="I73" s="1" t="s">
        <v>61</v>
      </c>
      <c r="J73" s="6">
        <v>690000</v>
      </c>
      <c r="K73" s="7">
        <v>62000</v>
      </c>
      <c r="L73" s="7">
        <f t="shared" si="12"/>
        <v>752000</v>
      </c>
      <c r="M73" s="1">
        <v>9</v>
      </c>
      <c r="N73" s="8">
        <v>3.7</v>
      </c>
      <c r="O73" s="9">
        <v>92.8</v>
      </c>
      <c r="P73" s="1">
        <v>1</v>
      </c>
      <c r="Q73" s="1" t="s">
        <v>48</v>
      </c>
      <c r="R73" s="1" t="s">
        <v>72</v>
      </c>
      <c r="S73" s="1" t="s">
        <v>50</v>
      </c>
      <c r="T73" s="1" t="s">
        <v>32</v>
      </c>
      <c r="U73" t="str">
        <f>VLOOKUP(A73,Emp_Info!$B$1:$G$101,3,0)</f>
        <v>pooja</v>
      </c>
      <c r="V73" t="str">
        <f>_xlfn.XLOOKUP(A73,Emp_Info!$B$2:$B$101,Emp_Info!$A$2:$A$101,,0)</f>
        <v>kapoor</v>
      </c>
      <c r="W73" s="3" t="str">
        <f t="shared" si="13"/>
        <v>Pooja Kapoor</v>
      </c>
      <c r="X73" t="str">
        <f t="shared" si="14"/>
        <v>PK012</v>
      </c>
      <c r="Y73" t="str">
        <f>HLOOKUP(F73,Dept_Info!$A$2:$I$3,2,0)</f>
        <v>Marketing</v>
      </c>
      <c r="Z73">
        <f t="shared" si="15"/>
        <v>752000</v>
      </c>
      <c r="AA73" t="str">
        <f t="shared" si="16"/>
        <v>Low</v>
      </c>
      <c r="AB73" t="s">
        <v>264</v>
      </c>
      <c r="AC73" t="str">
        <f>INDEX(Emp_Info!$B$1:$G$101,MATCH(HR_Data!$A82,Emp_Info!$B$2:$B$101,0),MATCH(HR_Data!AC$1,Emp_Info!$B$1:$G$1,0))</f>
        <v>Master</v>
      </c>
      <c r="AD73" t="str">
        <f>INDEX(Emp_Info!$A$1:$G$101,MATCH(HR_Data!$A73,Emp_Info!$B$1:$B$101,0),MATCH(HR_Data!AD$1,Emp_Info!$A$1:$G$1,0))</f>
        <v>Pune</v>
      </c>
      <c r="AE73" t="str">
        <f>INDEX(Emp_Info!$A$1:$G$101,MATCH(HR_Data!$A73,Emp_Info!$B$1:$B$101,0),MATCH(HR_Data!AE$1,Emp_Info!$A$1:$G$1,0))</f>
        <v>West</v>
      </c>
      <c r="AF73" t="str">
        <f t="shared" si="17"/>
        <v>Not Eligible</v>
      </c>
    </row>
    <row r="74" spans="1:32" x14ac:dyDescent="0.35">
      <c r="A74" s="1" t="s">
        <v>205</v>
      </c>
      <c r="B74" s="5">
        <v>34492</v>
      </c>
      <c r="C74" s="1">
        <v>30</v>
      </c>
      <c r="D74" s="5">
        <v>44796</v>
      </c>
      <c r="E74" s="1" t="s">
        <v>69</v>
      </c>
      <c r="F74" s="1" t="s">
        <v>23</v>
      </c>
      <c r="G74" s="1" t="s">
        <v>206</v>
      </c>
      <c r="H74" s="1" t="s">
        <v>25</v>
      </c>
      <c r="I74" s="1" t="s">
        <v>28</v>
      </c>
      <c r="J74" s="6">
        <v>680000</v>
      </c>
      <c r="K74" s="7">
        <v>62000</v>
      </c>
      <c r="L74" s="7">
        <f t="shared" si="12"/>
        <v>742000</v>
      </c>
      <c r="M74" s="1">
        <v>5</v>
      </c>
      <c r="N74" s="8">
        <v>4</v>
      </c>
      <c r="O74" s="9">
        <v>95.2</v>
      </c>
      <c r="P74" s="1">
        <v>2</v>
      </c>
      <c r="Q74" s="1" t="s">
        <v>30</v>
      </c>
      <c r="R74" s="1" t="s">
        <v>31</v>
      </c>
      <c r="S74" s="1" t="s">
        <v>50</v>
      </c>
      <c r="T74" s="1" t="s">
        <v>32</v>
      </c>
      <c r="U74" t="str">
        <f>VLOOKUP(A74,Emp_Info!$B$1:$G$101,3,0)</f>
        <v>jyoti</v>
      </c>
      <c r="V74" t="str">
        <f>_xlfn.XLOOKUP(A74,Emp_Info!$B$2:$B$101,Emp_Info!$A$2:$A$101,,0)</f>
        <v>agarwal</v>
      </c>
      <c r="W74" s="3" t="str">
        <f t="shared" si="13"/>
        <v>Jyoti Agarwal</v>
      </c>
      <c r="X74" t="str">
        <f t="shared" si="14"/>
        <v>JA074</v>
      </c>
      <c r="Y74" t="str">
        <f>HLOOKUP(F74,Dept_Info!$A$2:$I$3,2,0)</f>
        <v>IT</v>
      </c>
      <c r="Z74">
        <f t="shared" si="15"/>
        <v>742000</v>
      </c>
      <c r="AA74" t="str">
        <f t="shared" si="16"/>
        <v>Low</v>
      </c>
      <c r="AB74" t="s">
        <v>264</v>
      </c>
      <c r="AC74" t="str">
        <f>INDEX(Emp_Info!$B$1:$G$101,MATCH(HR_Data!$A65,Emp_Info!$B$2:$B$101,0),MATCH(HR_Data!AC$1,Emp_Info!$B$1:$G$1,0))</f>
        <v>Bachelor</v>
      </c>
      <c r="AD74" t="str">
        <f>INDEX(Emp_Info!$A$1:$G$101,MATCH(HR_Data!$A74,Emp_Info!$B$1:$B$101,0),MATCH(HR_Data!AD$1,Emp_Info!$A$1:$G$1,0))</f>
        <v>Noida</v>
      </c>
      <c r="AE74" t="str">
        <f>INDEX(Emp_Info!$A$1:$G$101,MATCH(HR_Data!$A74,Emp_Info!$B$1:$B$101,0),MATCH(HR_Data!AE$1,Emp_Info!$A$1:$G$1,0))</f>
        <v>North</v>
      </c>
      <c r="AF74" t="str">
        <f t="shared" si="17"/>
        <v>Not Eligible</v>
      </c>
    </row>
    <row r="75" spans="1:32" x14ac:dyDescent="0.35">
      <c r="A75" s="1" t="s">
        <v>99</v>
      </c>
      <c r="B75" s="5">
        <v>32552</v>
      </c>
      <c r="C75" s="1">
        <v>35</v>
      </c>
      <c r="D75" s="5">
        <v>43248</v>
      </c>
      <c r="E75" s="1" t="s">
        <v>42</v>
      </c>
      <c r="F75" s="1" t="s">
        <v>43</v>
      </c>
      <c r="G75" s="1" t="s">
        <v>100</v>
      </c>
      <c r="H75" s="1" t="s">
        <v>25</v>
      </c>
      <c r="I75" s="1" t="s">
        <v>47</v>
      </c>
      <c r="J75" s="6">
        <v>680000</v>
      </c>
      <c r="K75" s="7">
        <v>60000</v>
      </c>
      <c r="L75" s="7">
        <f t="shared" si="12"/>
        <v>740000</v>
      </c>
      <c r="M75" s="1">
        <v>11</v>
      </c>
      <c r="N75" s="8">
        <v>3.8</v>
      </c>
      <c r="O75" s="9">
        <v>93.9</v>
      </c>
      <c r="P75" s="1">
        <v>1</v>
      </c>
      <c r="Q75" s="1" t="s">
        <v>48</v>
      </c>
      <c r="R75" s="1" t="s">
        <v>49</v>
      </c>
      <c r="S75" s="1" t="s">
        <v>50</v>
      </c>
      <c r="T75" s="1" t="s">
        <v>32</v>
      </c>
      <c r="U75" t="str">
        <f>VLOOKUP(A75,Emp_Info!$B$1:$G$101,3,0)</f>
        <v>rohit</v>
      </c>
      <c r="V75" t="str">
        <f>_xlfn.XLOOKUP(A75,Emp_Info!$B$2:$B$101,Emp_Info!$A$2:$A$101,,0)</f>
        <v>agarwal</v>
      </c>
      <c r="W75" s="3" t="str">
        <f t="shared" si="13"/>
        <v>Rohit Agarwal</v>
      </c>
      <c r="X75" t="str">
        <f t="shared" si="14"/>
        <v>RA021</v>
      </c>
      <c r="Y75" t="str">
        <f>HLOOKUP(F75,Dept_Info!$A$2:$I$3,2,0)</f>
        <v>Finance</v>
      </c>
      <c r="Z75">
        <f t="shared" si="15"/>
        <v>740000</v>
      </c>
      <c r="AA75" t="str">
        <f t="shared" si="16"/>
        <v>Low</v>
      </c>
      <c r="AB75" t="s">
        <v>263</v>
      </c>
      <c r="AC75" t="str">
        <f>INDEX(Emp_Info!$B$1:$G$101,MATCH(HR_Data!$A31,Emp_Info!$B$2:$B$101,0),MATCH(HR_Data!AC$1,Emp_Info!$B$1:$G$1,0))</f>
        <v>Master</v>
      </c>
      <c r="AD75" t="str">
        <f>INDEX(Emp_Info!$A$1:$G$101,MATCH(HR_Data!$A75,Emp_Info!$B$1:$B$101,0),MATCH(HR_Data!AD$1,Emp_Info!$A$1:$G$1,0))</f>
        <v>Mumbai</v>
      </c>
      <c r="AE75" t="str">
        <f>INDEX(Emp_Info!$A$1:$G$101,MATCH(HR_Data!$A75,Emp_Info!$B$1:$B$101,0),MATCH(HR_Data!AE$1,Emp_Info!$A$1:$G$1,0))</f>
        <v>West</v>
      </c>
      <c r="AF75" t="str">
        <f t="shared" si="17"/>
        <v>Not Eligible</v>
      </c>
    </row>
    <row r="76" spans="1:32" x14ac:dyDescent="0.35">
      <c r="A76" s="1" t="s">
        <v>137</v>
      </c>
      <c r="B76" s="5">
        <v>33954</v>
      </c>
      <c r="C76" s="1">
        <v>32</v>
      </c>
      <c r="D76" s="5">
        <v>44265</v>
      </c>
      <c r="E76" s="1" t="s">
        <v>22</v>
      </c>
      <c r="F76" s="1" t="s">
        <v>58</v>
      </c>
      <c r="G76" s="1" t="s">
        <v>138</v>
      </c>
      <c r="H76" s="1" t="s">
        <v>25</v>
      </c>
      <c r="I76" s="1" t="s">
        <v>61</v>
      </c>
      <c r="J76" s="6">
        <v>670000</v>
      </c>
      <c r="K76" s="7">
        <v>60000</v>
      </c>
      <c r="L76" s="7">
        <f t="shared" si="12"/>
        <v>730000</v>
      </c>
      <c r="M76" s="1">
        <v>7</v>
      </c>
      <c r="N76" s="8">
        <v>3.9</v>
      </c>
      <c r="O76" s="9">
        <v>95</v>
      </c>
      <c r="P76" s="1">
        <v>1</v>
      </c>
      <c r="Q76" s="1" t="s">
        <v>30</v>
      </c>
      <c r="R76" s="1" t="s">
        <v>49</v>
      </c>
      <c r="S76" s="1" t="s">
        <v>50</v>
      </c>
      <c r="T76" s="1" t="s">
        <v>32</v>
      </c>
      <c r="U76" t="str">
        <f>VLOOKUP(A76,Emp_Info!$B$1:$G$101,3,0)</f>
        <v>madhuri</v>
      </c>
      <c r="V76" t="str">
        <f>_xlfn.XLOOKUP(A76,Emp_Info!$B$2:$B$101,Emp_Info!$A$2:$A$101,,0)</f>
        <v>joshi</v>
      </c>
      <c r="W76" s="3" t="str">
        <f t="shared" si="13"/>
        <v>Madhuri Joshi</v>
      </c>
      <c r="X76" t="str">
        <f t="shared" si="14"/>
        <v>MJ040</v>
      </c>
      <c r="Y76" t="str">
        <f>HLOOKUP(F76,Dept_Info!$A$2:$I$3,2,0)</f>
        <v>Marketing</v>
      </c>
      <c r="Z76">
        <f t="shared" si="15"/>
        <v>730000</v>
      </c>
      <c r="AA76" t="str">
        <f t="shared" si="16"/>
        <v>Low</v>
      </c>
      <c r="AB76" t="s">
        <v>264</v>
      </c>
      <c r="AC76" t="str">
        <f>INDEX(Emp_Info!$B$1:$G$101,MATCH(HR_Data!$A84,Emp_Info!$B$2:$B$101,0),MATCH(HR_Data!AC$1,Emp_Info!$B$1:$G$1,0))</f>
        <v>Bachelor</v>
      </c>
      <c r="AD76" t="str">
        <f>INDEX(Emp_Info!$A$1:$G$101,MATCH(HR_Data!$A76,Emp_Info!$B$1:$B$101,0),MATCH(HR_Data!AD$1,Emp_Info!$A$1:$G$1,0))</f>
        <v>Hyderabad</v>
      </c>
      <c r="AE76" t="str">
        <f>INDEX(Emp_Info!$A$1:$G$101,MATCH(HR_Data!$A76,Emp_Info!$B$1:$B$101,0),MATCH(HR_Data!AE$1,Emp_Info!$A$1:$G$1,0))</f>
        <v>South</v>
      </c>
      <c r="AF76" t="str">
        <f t="shared" si="17"/>
        <v>Not Eligible</v>
      </c>
    </row>
    <row r="77" spans="1:32" x14ac:dyDescent="0.35">
      <c r="A77" s="1" t="s">
        <v>225</v>
      </c>
      <c r="B77" s="5">
        <v>34312</v>
      </c>
      <c r="C77" s="1">
        <v>31</v>
      </c>
      <c r="D77" s="5">
        <v>44666</v>
      </c>
      <c r="E77" s="1" t="s">
        <v>42</v>
      </c>
      <c r="F77" s="1" t="s">
        <v>52</v>
      </c>
      <c r="G77" s="1" t="s">
        <v>226</v>
      </c>
      <c r="H77" s="1" t="s">
        <v>25</v>
      </c>
      <c r="I77" s="1" t="s">
        <v>55</v>
      </c>
      <c r="J77" s="6">
        <v>650000</v>
      </c>
      <c r="K77" s="7">
        <v>58000</v>
      </c>
      <c r="L77" s="7">
        <f t="shared" si="12"/>
        <v>708000</v>
      </c>
      <c r="M77" s="1">
        <v>6</v>
      </c>
      <c r="N77" s="8">
        <v>3.9</v>
      </c>
      <c r="O77" s="9">
        <v>94.9</v>
      </c>
      <c r="P77" s="1">
        <v>1</v>
      </c>
      <c r="Q77" s="1" t="s">
        <v>30</v>
      </c>
      <c r="R77" s="1" t="s">
        <v>49</v>
      </c>
      <c r="S77" s="1" t="s">
        <v>50</v>
      </c>
      <c r="T77" s="1" t="s">
        <v>32</v>
      </c>
      <c r="U77" t="str">
        <f>VLOOKUP(A77,Emp_Info!$B$1:$G$101,3,0)</f>
        <v>riya</v>
      </c>
      <c r="V77" t="str">
        <f>_xlfn.XLOOKUP(A77,Emp_Info!$B$2:$B$101,Emp_Info!$A$2:$A$101,,0)</f>
        <v>jain</v>
      </c>
      <c r="W77" s="3" t="str">
        <f t="shared" si="13"/>
        <v>Riya Jain</v>
      </c>
      <c r="X77" t="str">
        <f t="shared" si="14"/>
        <v>RJ084</v>
      </c>
      <c r="Y77" t="str">
        <f>HLOOKUP(F77,Dept_Info!$A$2:$I$3,2,0)</f>
        <v>Admin</v>
      </c>
      <c r="Z77">
        <f t="shared" si="15"/>
        <v>708000</v>
      </c>
      <c r="AA77" t="str">
        <f t="shared" si="16"/>
        <v>Low</v>
      </c>
      <c r="AB77" t="s">
        <v>264</v>
      </c>
      <c r="AC77" t="str">
        <f>INDEX(Emp_Info!$B$1:$G$101,MATCH(HR_Data!$A12,Emp_Info!$B$2:$B$101,0),MATCH(HR_Data!AC$1,Emp_Info!$B$1:$G$1,0))</f>
        <v>Master</v>
      </c>
      <c r="AD77" t="str">
        <f>INDEX(Emp_Info!$A$1:$G$101,MATCH(HR_Data!$A77,Emp_Info!$B$1:$B$101,0),MATCH(HR_Data!AD$1,Emp_Info!$A$1:$G$1,0))</f>
        <v>Pune</v>
      </c>
      <c r="AE77" t="str">
        <f>INDEX(Emp_Info!$A$1:$G$101,MATCH(HR_Data!$A77,Emp_Info!$B$1:$B$101,0),MATCH(HR_Data!AE$1,Emp_Info!$A$1:$G$1,0))</f>
        <v>West</v>
      </c>
      <c r="AF77" t="str">
        <f t="shared" si="17"/>
        <v>Not Eligible</v>
      </c>
    </row>
    <row r="78" spans="1:32" x14ac:dyDescent="0.35">
      <c r="A78" s="1" t="s">
        <v>51</v>
      </c>
      <c r="B78" s="5">
        <v>33852</v>
      </c>
      <c r="C78" s="1">
        <v>32</v>
      </c>
      <c r="D78" s="5">
        <v>43902</v>
      </c>
      <c r="E78" s="1" t="s">
        <v>22</v>
      </c>
      <c r="F78" s="1" t="s">
        <v>52</v>
      </c>
      <c r="G78" s="1" t="s">
        <v>53</v>
      </c>
      <c r="H78" s="1" t="s">
        <v>25</v>
      </c>
      <c r="I78" s="1" t="s">
        <v>55</v>
      </c>
      <c r="J78" s="6">
        <v>650000</v>
      </c>
      <c r="K78" s="7">
        <v>55000</v>
      </c>
      <c r="L78" s="7">
        <f t="shared" si="12"/>
        <v>705000</v>
      </c>
      <c r="M78" s="1">
        <v>8</v>
      </c>
      <c r="N78" s="8">
        <v>4</v>
      </c>
      <c r="O78" s="9">
        <v>97.1</v>
      </c>
      <c r="P78" s="1">
        <v>2</v>
      </c>
      <c r="Q78" s="1" t="s">
        <v>30</v>
      </c>
      <c r="R78" s="1" t="s">
        <v>31</v>
      </c>
      <c r="S78" s="1" t="s">
        <v>50</v>
      </c>
      <c r="T78" s="1" t="s">
        <v>32</v>
      </c>
      <c r="U78" t="str">
        <f>VLOOKUP(A78,Emp_Info!$B$1:$G$101,3,0)</f>
        <v>sneha</v>
      </c>
      <c r="V78" t="str">
        <f>_xlfn.XLOOKUP(A78,Emp_Info!$B$2:$B$101,Emp_Info!$A$2:$A$101,,0)</f>
        <v>reddy</v>
      </c>
      <c r="W78" s="3" t="str">
        <f t="shared" si="13"/>
        <v>Sneha Reddy</v>
      </c>
      <c r="X78" t="str">
        <f t="shared" si="14"/>
        <v>SR004</v>
      </c>
      <c r="Y78" t="str">
        <f>HLOOKUP(F78,Dept_Info!$A$2:$I$3,2,0)</f>
        <v>Admin</v>
      </c>
      <c r="Z78">
        <f t="shared" si="15"/>
        <v>705000</v>
      </c>
      <c r="AA78" t="str">
        <f t="shared" si="16"/>
        <v>Low</v>
      </c>
      <c r="AB78" t="s">
        <v>264</v>
      </c>
      <c r="AC78" t="str">
        <f>INDEX(Emp_Info!$B$1:$G$101,MATCH(HR_Data!$A5,Emp_Info!$B$2:$B$101,0),MATCH(HR_Data!AC$1,Emp_Info!$B$1:$G$1,0))</f>
        <v>Bachelor</v>
      </c>
      <c r="AD78" t="str">
        <f>INDEX(Emp_Info!$A$1:$G$101,MATCH(HR_Data!$A78,Emp_Info!$B$1:$B$101,0),MATCH(HR_Data!AD$1,Emp_Info!$A$1:$G$1,0))</f>
        <v>Hyderabad</v>
      </c>
      <c r="AE78" t="str">
        <f>INDEX(Emp_Info!$A$1:$G$101,MATCH(HR_Data!$A78,Emp_Info!$B$1:$B$101,0),MATCH(HR_Data!AE$1,Emp_Info!$A$1:$G$1,0))</f>
        <v>South</v>
      </c>
      <c r="AF78" t="str">
        <f t="shared" si="17"/>
        <v>Not Eligible</v>
      </c>
    </row>
    <row r="79" spans="1:32" x14ac:dyDescent="0.35">
      <c r="A79" s="1" t="s">
        <v>197</v>
      </c>
      <c r="B79" s="5">
        <v>34228</v>
      </c>
      <c r="C79" s="1">
        <v>31</v>
      </c>
      <c r="D79" s="5">
        <v>44544</v>
      </c>
      <c r="E79" s="1" t="s">
        <v>42</v>
      </c>
      <c r="F79" s="1" t="s">
        <v>35</v>
      </c>
      <c r="G79" s="1" t="s">
        <v>198</v>
      </c>
      <c r="H79" s="1" t="s">
        <v>25</v>
      </c>
      <c r="I79" s="1" t="s">
        <v>39</v>
      </c>
      <c r="J79" s="6">
        <v>640000</v>
      </c>
      <c r="K79" s="7">
        <v>58000</v>
      </c>
      <c r="L79" s="7">
        <f t="shared" si="12"/>
        <v>698000</v>
      </c>
      <c r="M79" s="1">
        <v>6</v>
      </c>
      <c r="N79" s="8">
        <v>4.0999999999999996</v>
      </c>
      <c r="O79" s="9">
        <v>96.1</v>
      </c>
      <c r="P79" s="1">
        <v>2</v>
      </c>
      <c r="Q79" s="1" t="s">
        <v>30</v>
      </c>
      <c r="R79" s="1" t="s">
        <v>31</v>
      </c>
      <c r="S79" s="1" t="s">
        <v>50</v>
      </c>
      <c r="T79" s="1" t="s">
        <v>32</v>
      </c>
      <c r="U79" t="str">
        <f>VLOOKUP(A79,Emp_Info!$B$1:$G$101,3,0)</f>
        <v>smita</v>
      </c>
      <c r="V79" t="str">
        <f>_xlfn.XLOOKUP(A79,Emp_Info!$B$2:$B$101,Emp_Info!$A$2:$A$101,,0)</f>
        <v>joshi</v>
      </c>
      <c r="W79" s="3" t="str">
        <f t="shared" si="13"/>
        <v>Smita Joshi</v>
      </c>
      <c r="X79" t="str">
        <f t="shared" si="14"/>
        <v>SJ070</v>
      </c>
      <c r="Y79" t="str">
        <f>HLOOKUP(F79,Dept_Info!$A$2:$I$3,2,0)</f>
        <v>HR</v>
      </c>
      <c r="Z79">
        <f t="shared" si="15"/>
        <v>698000</v>
      </c>
      <c r="AA79" t="str">
        <f t="shared" si="16"/>
        <v>Low</v>
      </c>
      <c r="AB79" t="s">
        <v>264</v>
      </c>
      <c r="AC79" t="str">
        <f>INDEX(Emp_Info!$B$1:$G$101,MATCH(HR_Data!$A43,Emp_Info!$B$2:$B$101,0),MATCH(HR_Data!AC$1,Emp_Info!$B$1:$G$1,0))</f>
        <v>Bachelor</v>
      </c>
      <c r="AD79" t="str">
        <f>INDEX(Emp_Info!$A$1:$G$101,MATCH(HR_Data!$A79,Emp_Info!$B$1:$B$101,0),MATCH(HR_Data!AD$1,Emp_Info!$A$1:$G$1,0))</f>
        <v>Mumbai</v>
      </c>
      <c r="AE79" t="str">
        <f>INDEX(Emp_Info!$A$1:$G$101,MATCH(HR_Data!$A79,Emp_Info!$B$1:$B$101,0),MATCH(HR_Data!AE$1,Emp_Info!$A$1:$G$1,0))</f>
        <v>West</v>
      </c>
      <c r="AF79" t="str">
        <f t="shared" si="17"/>
        <v>Not Eligible</v>
      </c>
    </row>
    <row r="80" spans="1:32" x14ac:dyDescent="0.35">
      <c r="A80" s="1" t="s">
        <v>97</v>
      </c>
      <c r="B80" s="5">
        <v>33395</v>
      </c>
      <c r="C80" s="1">
        <v>33</v>
      </c>
      <c r="D80" s="5">
        <v>43788</v>
      </c>
      <c r="E80" s="1" t="s">
        <v>34</v>
      </c>
      <c r="F80" s="1" t="s">
        <v>65</v>
      </c>
      <c r="G80" s="1" t="s">
        <v>98</v>
      </c>
      <c r="H80" s="1" t="s">
        <v>25</v>
      </c>
      <c r="I80" s="1" t="s">
        <v>67</v>
      </c>
      <c r="J80" s="6">
        <v>620000</v>
      </c>
      <c r="K80" s="7">
        <v>58000</v>
      </c>
      <c r="L80" s="7">
        <f t="shared" si="12"/>
        <v>678000</v>
      </c>
      <c r="M80" s="1">
        <v>8</v>
      </c>
      <c r="N80" s="8">
        <v>3.9</v>
      </c>
      <c r="O80" s="9">
        <v>94.7</v>
      </c>
      <c r="P80" s="1">
        <v>1</v>
      </c>
      <c r="Q80" s="1" t="s">
        <v>30</v>
      </c>
      <c r="R80" s="1" t="s">
        <v>49</v>
      </c>
      <c r="S80" s="1" t="s">
        <v>50</v>
      </c>
      <c r="T80" s="1" t="s">
        <v>32</v>
      </c>
      <c r="U80" t="str">
        <f>VLOOKUP(A80,Emp_Info!$B$1:$G$101,3,0)</f>
        <v>divya</v>
      </c>
      <c r="V80" t="str">
        <f>_xlfn.XLOOKUP(A80,Emp_Info!$B$2:$B$101,Emp_Info!$A$2:$A$101,,0)</f>
        <v>menon</v>
      </c>
      <c r="W80" s="3" t="str">
        <f t="shared" si="13"/>
        <v>Divya Menon</v>
      </c>
      <c r="X80" t="str">
        <f t="shared" si="14"/>
        <v>DM020</v>
      </c>
      <c r="Y80" t="str">
        <f>HLOOKUP(F80,Dept_Info!$A$2:$I$3,2,0)</f>
        <v>Sales</v>
      </c>
      <c r="Z80">
        <f t="shared" si="15"/>
        <v>779700</v>
      </c>
      <c r="AA80" t="str">
        <f t="shared" si="16"/>
        <v>Low</v>
      </c>
      <c r="AB80" t="s">
        <v>323</v>
      </c>
      <c r="AC80" t="str">
        <f>INDEX(Emp_Info!$B$1:$G$101,MATCH(HR_Data!$A99,Emp_Info!$B$2:$B$101,0),MATCH(HR_Data!AC$1,Emp_Info!$B$1:$G$1,0))</f>
        <v>Master</v>
      </c>
      <c r="AD80" t="str">
        <f>INDEX(Emp_Info!$A$1:$G$101,MATCH(HR_Data!$A80,Emp_Info!$B$1:$B$101,0),MATCH(HR_Data!AD$1,Emp_Info!$A$1:$G$1,0))</f>
        <v>Bangalore</v>
      </c>
      <c r="AE80" t="str">
        <f>INDEX(Emp_Info!$A$1:$G$101,MATCH(HR_Data!$A80,Emp_Info!$B$1:$B$101,0),MATCH(HR_Data!AE$1,Emp_Info!$A$1:$G$1,0))</f>
        <v>South</v>
      </c>
      <c r="AF80" t="str">
        <f t="shared" si="17"/>
        <v>Not Eligible</v>
      </c>
    </row>
    <row r="81" spans="1:32" x14ac:dyDescent="0.35">
      <c r="A81" s="1" t="s">
        <v>109</v>
      </c>
      <c r="B81" s="5">
        <v>34091</v>
      </c>
      <c r="C81" s="1">
        <v>31</v>
      </c>
      <c r="D81" s="5">
        <v>44391</v>
      </c>
      <c r="E81" s="1" t="s">
        <v>69</v>
      </c>
      <c r="F81" s="1" t="s">
        <v>35</v>
      </c>
      <c r="G81" s="1" t="s">
        <v>110</v>
      </c>
      <c r="H81" s="1" t="s">
        <v>25</v>
      </c>
      <c r="I81" s="1" t="s">
        <v>39</v>
      </c>
      <c r="J81" s="6">
        <v>620000</v>
      </c>
      <c r="K81" s="7">
        <v>55000</v>
      </c>
      <c r="L81" s="7">
        <f t="shared" si="12"/>
        <v>675000</v>
      </c>
      <c r="M81" s="1">
        <v>6</v>
      </c>
      <c r="N81" s="8">
        <v>3.9</v>
      </c>
      <c r="O81" s="9">
        <v>94.5</v>
      </c>
      <c r="P81" s="1">
        <v>1</v>
      </c>
      <c r="Q81" s="1" t="s">
        <v>30</v>
      </c>
      <c r="R81" s="1" t="s">
        <v>49</v>
      </c>
      <c r="S81" s="1" t="s">
        <v>50</v>
      </c>
      <c r="T81" s="1" t="s">
        <v>32</v>
      </c>
      <c r="U81" t="str">
        <f>VLOOKUP(A81,Emp_Info!$B$1:$G$101,3,0)</f>
        <v>nisha</v>
      </c>
      <c r="V81" t="str">
        <f>_xlfn.XLOOKUP(A81,Emp_Info!$B$2:$B$101,Emp_Info!$A$2:$A$101,,0)</f>
        <v>yadav</v>
      </c>
      <c r="W81" s="3" t="str">
        <f t="shared" si="13"/>
        <v>Nisha Yadav</v>
      </c>
      <c r="X81" t="str">
        <f t="shared" si="14"/>
        <v>NY026</v>
      </c>
      <c r="Y81" t="str">
        <f>HLOOKUP(F81,Dept_Info!$A$2:$I$3,2,0)</f>
        <v>HR</v>
      </c>
      <c r="Z81">
        <f t="shared" si="15"/>
        <v>675000</v>
      </c>
      <c r="AA81" t="str">
        <f t="shared" si="16"/>
        <v>Low</v>
      </c>
      <c r="AB81" t="s">
        <v>264</v>
      </c>
      <c r="AC81" t="str">
        <f>INDEX(Emp_Info!$B$1:$G$101,MATCH(HR_Data!$A41,Emp_Info!$B$2:$B$101,0),MATCH(HR_Data!AC$1,Emp_Info!$B$1:$G$1,0))</f>
        <v>Master</v>
      </c>
      <c r="AD81" t="str">
        <f>INDEX(Emp_Info!$A$1:$G$101,MATCH(HR_Data!$A81,Emp_Info!$B$1:$B$101,0),MATCH(HR_Data!AD$1,Emp_Info!$A$1:$G$1,0))</f>
        <v>Noida</v>
      </c>
      <c r="AE81" t="str">
        <f>INDEX(Emp_Info!$A$1:$G$101,MATCH(HR_Data!$A81,Emp_Info!$B$1:$B$101,0),MATCH(HR_Data!AE$1,Emp_Info!$A$1:$G$1,0))</f>
        <v>North</v>
      </c>
      <c r="AF81" t="str">
        <f t="shared" si="17"/>
        <v>Not Eligible</v>
      </c>
    </row>
    <row r="82" spans="1:32" x14ac:dyDescent="0.35">
      <c r="A82" s="1" t="s">
        <v>257</v>
      </c>
      <c r="B82" s="5">
        <v>34785</v>
      </c>
      <c r="C82" s="1">
        <v>29</v>
      </c>
      <c r="D82" s="5">
        <v>44950</v>
      </c>
      <c r="E82" s="1" t="s">
        <v>42</v>
      </c>
      <c r="F82" s="1" t="s">
        <v>23</v>
      </c>
      <c r="G82" s="1" t="s">
        <v>258</v>
      </c>
      <c r="H82" s="1" t="s">
        <v>25</v>
      </c>
      <c r="I82" s="1" t="s">
        <v>28</v>
      </c>
      <c r="J82" s="6">
        <v>620000</v>
      </c>
      <c r="K82" s="7">
        <v>55000</v>
      </c>
      <c r="L82" s="7">
        <f t="shared" si="12"/>
        <v>675000</v>
      </c>
      <c r="M82" s="1">
        <v>4</v>
      </c>
      <c r="N82" s="8">
        <v>3.9</v>
      </c>
      <c r="O82" s="9">
        <v>94.3</v>
      </c>
      <c r="P82" s="1">
        <v>2</v>
      </c>
      <c r="Q82" s="1" t="s">
        <v>30</v>
      </c>
      <c r="R82" s="1" t="s">
        <v>49</v>
      </c>
      <c r="S82" s="1" t="s">
        <v>50</v>
      </c>
      <c r="T82" s="1" t="s">
        <v>32</v>
      </c>
      <c r="U82" t="str">
        <f>VLOOKUP(A82,Emp_Info!$B$1:$G$101,3,0)</f>
        <v>prachi</v>
      </c>
      <c r="V82" t="str">
        <f>_xlfn.XLOOKUP(A82,Emp_Info!$B$2:$B$101,Emp_Info!$A$2:$A$101,,0)</f>
        <v>kulkarni</v>
      </c>
      <c r="W82" s="3" t="str">
        <f t="shared" si="13"/>
        <v>Prachi Kulkarni</v>
      </c>
      <c r="X82" t="str">
        <f t="shared" si="14"/>
        <v>PK100</v>
      </c>
      <c r="Y82" t="str">
        <f>HLOOKUP(F82,Dept_Info!$A$2:$I$3,2,0)</f>
        <v>IT</v>
      </c>
      <c r="Z82">
        <f t="shared" si="15"/>
        <v>675000</v>
      </c>
      <c r="AA82" t="str">
        <f t="shared" si="16"/>
        <v>Low</v>
      </c>
      <c r="AB82" t="s">
        <v>264</v>
      </c>
      <c r="AC82" t="str">
        <f>INDEX(Emp_Info!$B$1:$G$101,MATCH(HR_Data!$A69,Emp_Info!$B$2:$B$101,0),MATCH(HR_Data!AC$1,Emp_Info!$B$1:$G$1,0))</f>
        <v>Master</v>
      </c>
      <c r="AD82" t="str">
        <f>INDEX(Emp_Info!$A$1:$G$101,MATCH(HR_Data!$A82,Emp_Info!$B$1:$B$101,0),MATCH(HR_Data!AD$1,Emp_Info!$A$1:$G$1,0))</f>
        <v>Mumbai</v>
      </c>
      <c r="AE82" t="str">
        <f>INDEX(Emp_Info!$A$1:$G$101,MATCH(HR_Data!$A82,Emp_Info!$B$1:$B$101,0),MATCH(HR_Data!AE$1,Emp_Info!$A$1:$G$1,0))</f>
        <v>West</v>
      </c>
      <c r="AF82" t="str">
        <f t="shared" si="17"/>
        <v>Not Eligible</v>
      </c>
    </row>
    <row r="83" spans="1:32" x14ac:dyDescent="0.35">
      <c r="A83" s="1" t="s">
        <v>181</v>
      </c>
      <c r="B83" s="5">
        <v>34068</v>
      </c>
      <c r="C83" s="1">
        <v>31</v>
      </c>
      <c r="D83" s="5">
        <v>44585</v>
      </c>
      <c r="E83" s="1" t="s">
        <v>22</v>
      </c>
      <c r="F83" s="1" t="s">
        <v>35</v>
      </c>
      <c r="G83" s="1" t="s">
        <v>182</v>
      </c>
      <c r="H83" s="1" t="s">
        <v>25</v>
      </c>
      <c r="I83" s="1" t="s">
        <v>39</v>
      </c>
      <c r="J83" s="6">
        <v>590000</v>
      </c>
      <c r="K83" s="7">
        <v>52000</v>
      </c>
      <c r="L83" s="7">
        <f t="shared" si="12"/>
        <v>642000</v>
      </c>
      <c r="M83" s="1">
        <v>6</v>
      </c>
      <c r="N83" s="8">
        <v>3.9</v>
      </c>
      <c r="O83" s="9">
        <v>94.6</v>
      </c>
      <c r="P83" s="1">
        <v>1</v>
      </c>
      <c r="Q83" s="1" t="s">
        <v>30</v>
      </c>
      <c r="R83" s="1" t="s">
        <v>49</v>
      </c>
      <c r="S83" s="1" t="s">
        <v>50</v>
      </c>
      <c r="T83" s="1" t="s">
        <v>32</v>
      </c>
      <c r="U83" t="str">
        <f>VLOOKUP(A83,Emp_Info!$B$1:$G$101,3,0)</f>
        <v>poornima</v>
      </c>
      <c r="V83" t="str">
        <f>_xlfn.XLOOKUP(A83,Emp_Info!$B$2:$B$101,Emp_Info!$A$2:$A$101,,0)</f>
        <v>rao</v>
      </c>
      <c r="W83" s="3" t="str">
        <f t="shared" si="13"/>
        <v>Poornima Rao</v>
      </c>
      <c r="X83" t="str">
        <f t="shared" si="14"/>
        <v>PR062</v>
      </c>
      <c r="Y83" t="str">
        <f>HLOOKUP(F83,Dept_Info!$A$2:$I$3,2,0)</f>
        <v>HR</v>
      </c>
      <c r="Z83">
        <f t="shared" si="15"/>
        <v>642000</v>
      </c>
      <c r="AA83" t="str">
        <f t="shared" si="16"/>
        <v>Low</v>
      </c>
      <c r="AB83" t="s">
        <v>264</v>
      </c>
      <c r="AC83" t="str">
        <f>INDEX(Emp_Info!$B$1:$G$101,MATCH(HR_Data!$A42,Emp_Info!$B$2:$B$101,0),MATCH(HR_Data!AC$1,Emp_Info!$B$1:$G$1,0))</f>
        <v>Bachelor</v>
      </c>
      <c r="AD83" t="str">
        <f>INDEX(Emp_Info!$A$1:$G$101,MATCH(HR_Data!$A83,Emp_Info!$B$1:$B$101,0),MATCH(HR_Data!AD$1,Emp_Info!$A$1:$G$1,0))</f>
        <v>Bangalore</v>
      </c>
      <c r="AE83" t="str">
        <f>INDEX(Emp_Info!$A$1:$G$101,MATCH(HR_Data!$A83,Emp_Info!$B$1:$B$101,0),MATCH(HR_Data!AE$1,Emp_Info!$A$1:$G$1,0))</f>
        <v>South</v>
      </c>
      <c r="AF83" t="str">
        <f t="shared" si="17"/>
        <v>Not Eligible</v>
      </c>
    </row>
    <row r="84" spans="1:32" x14ac:dyDescent="0.35">
      <c r="A84" s="1" t="s">
        <v>101</v>
      </c>
      <c r="B84" s="5">
        <v>34631</v>
      </c>
      <c r="C84" s="1">
        <v>30</v>
      </c>
      <c r="D84" s="5">
        <v>44820</v>
      </c>
      <c r="E84" s="1" t="s">
        <v>22</v>
      </c>
      <c r="F84" s="1" t="s">
        <v>23</v>
      </c>
      <c r="G84" s="1" t="s">
        <v>102</v>
      </c>
      <c r="H84" s="1" t="s">
        <v>25</v>
      </c>
      <c r="I84" s="1" t="s">
        <v>28</v>
      </c>
      <c r="J84" s="6">
        <v>590000</v>
      </c>
      <c r="K84" s="7">
        <v>52000</v>
      </c>
      <c r="L84" s="7">
        <f t="shared" si="12"/>
        <v>642000</v>
      </c>
      <c r="M84" s="1">
        <v>5</v>
      </c>
      <c r="N84" s="8">
        <v>4</v>
      </c>
      <c r="O84" s="9">
        <v>95.3</v>
      </c>
      <c r="P84" s="1">
        <v>2</v>
      </c>
      <c r="Q84" s="1" t="s">
        <v>30</v>
      </c>
      <c r="R84" s="1" t="s">
        <v>31</v>
      </c>
      <c r="S84" s="1" t="s">
        <v>50</v>
      </c>
      <c r="T84" s="1" t="s">
        <v>32</v>
      </c>
      <c r="U84" t="str">
        <f>VLOOKUP(A84,Emp_Info!$B$1:$G$101,3,0)</f>
        <v>swati</v>
      </c>
      <c r="V84" t="str">
        <f>_xlfn.XLOOKUP(A84,Emp_Info!$B$2:$B$101,Emp_Info!$A$2:$A$101,,0)</f>
        <v>kulkarni</v>
      </c>
      <c r="W84" s="3" t="str">
        <f t="shared" si="13"/>
        <v>Swati Kulkarni</v>
      </c>
      <c r="X84" t="str">
        <f t="shared" si="14"/>
        <v>SK022</v>
      </c>
      <c r="Y84" t="str">
        <f>HLOOKUP(F84,Dept_Info!$A$2:$I$3,2,0)</f>
        <v>IT</v>
      </c>
      <c r="Z84">
        <f t="shared" si="15"/>
        <v>642000</v>
      </c>
      <c r="AA84" t="str">
        <f t="shared" si="16"/>
        <v>Low</v>
      </c>
      <c r="AB84" t="s">
        <v>264</v>
      </c>
      <c r="AC84" t="str">
        <f>INDEX(Emp_Info!$B$1:$G$101,MATCH(HR_Data!$A64,Emp_Info!$B$2:$B$101,0),MATCH(HR_Data!AC$1,Emp_Info!$B$1:$G$1,0))</f>
        <v>Bachelor</v>
      </c>
      <c r="AD84" t="str">
        <f>INDEX(Emp_Info!$A$1:$G$101,MATCH(HR_Data!$A84,Emp_Info!$B$1:$B$101,0),MATCH(HR_Data!AD$1,Emp_Info!$A$1:$G$1,0))</f>
        <v>Pune</v>
      </c>
      <c r="AE84" t="str">
        <f>INDEX(Emp_Info!$A$1:$G$101,MATCH(HR_Data!$A84,Emp_Info!$B$1:$B$101,0),MATCH(HR_Data!AE$1,Emp_Info!$A$1:$G$1,0))</f>
        <v>West</v>
      </c>
      <c r="AF84" t="str">
        <f t="shared" si="17"/>
        <v>Not Eligible</v>
      </c>
    </row>
    <row r="85" spans="1:32" x14ac:dyDescent="0.35">
      <c r="A85" s="1" t="s">
        <v>169</v>
      </c>
      <c r="B85" s="5">
        <v>33620</v>
      </c>
      <c r="C85" s="1">
        <v>32</v>
      </c>
      <c r="D85" s="5">
        <v>44040</v>
      </c>
      <c r="E85" s="1" t="s">
        <v>42</v>
      </c>
      <c r="F85" s="1" t="s">
        <v>65</v>
      </c>
      <c r="G85" s="1" t="s">
        <v>170</v>
      </c>
      <c r="H85" s="1" t="s">
        <v>25</v>
      </c>
      <c r="I85" s="1" t="s">
        <v>67</v>
      </c>
      <c r="J85" s="6">
        <v>580000</v>
      </c>
      <c r="K85" s="7">
        <v>52000</v>
      </c>
      <c r="L85" s="7">
        <f t="shared" si="12"/>
        <v>632000</v>
      </c>
      <c r="M85" s="1">
        <v>8</v>
      </c>
      <c r="N85" s="8">
        <v>3.8</v>
      </c>
      <c r="O85" s="9">
        <v>93.9</v>
      </c>
      <c r="P85" s="1">
        <v>1</v>
      </c>
      <c r="Q85" s="1" t="s">
        <v>30</v>
      </c>
      <c r="R85" s="1" t="s">
        <v>49</v>
      </c>
      <c r="S85" s="1" t="s">
        <v>50</v>
      </c>
      <c r="T85" s="1" t="s">
        <v>32</v>
      </c>
      <c r="U85" t="str">
        <f>VLOOKUP(A85,Emp_Info!$B$1:$G$101,3,0)</f>
        <v>ananya</v>
      </c>
      <c r="V85" t="str">
        <f>_xlfn.XLOOKUP(A85,Emp_Info!$B$2:$B$101,Emp_Info!$A$2:$A$101,,0)</f>
        <v>desai</v>
      </c>
      <c r="W85" s="3" t="str">
        <f t="shared" si="13"/>
        <v>Ananya Desai</v>
      </c>
      <c r="X85" t="str">
        <f t="shared" si="14"/>
        <v>AD056</v>
      </c>
      <c r="Y85" t="str">
        <f>HLOOKUP(F85,Dept_Info!$A$2:$I$3,2,0)</f>
        <v>Sales</v>
      </c>
      <c r="Z85">
        <f t="shared" si="15"/>
        <v>726800</v>
      </c>
      <c r="AA85" t="str">
        <f t="shared" si="16"/>
        <v>Low</v>
      </c>
      <c r="AB85" t="s">
        <v>264</v>
      </c>
      <c r="AC85" t="str">
        <f>INDEX(Emp_Info!$B$1:$G$101,MATCH(HR_Data!$A100,Emp_Info!$B$2:$B$101,0),MATCH(HR_Data!AC$1,Emp_Info!$B$1:$G$1,0))</f>
        <v>Master</v>
      </c>
      <c r="AD85" t="str">
        <f>INDEX(Emp_Info!$A$1:$G$101,MATCH(HR_Data!$A85,Emp_Info!$B$1:$B$101,0),MATCH(HR_Data!AD$1,Emp_Info!$A$1:$G$1,0))</f>
        <v>Bangalore</v>
      </c>
      <c r="AE85" t="str">
        <f>INDEX(Emp_Info!$A$1:$G$101,MATCH(HR_Data!$A85,Emp_Info!$B$1:$B$101,0),MATCH(HR_Data!AE$1,Emp_Info!$A$1:$G$1,0))</f>
        <v>South</v>
      </c>
      <c r="AF85" t="str">
        <f t="shared" si="17"/>
        <v>Not Eligible</v>
      </c>
    </row>
    <row r="86" spans="1:32" x14ac:dyDescent="0.35">
      <c r="A86" s="1" t="s">
        <v>89</v>
      </c>
      <c r="B86" s="5">
        <v>33959</v>
      </c>
      <c r="C86" s="1">
        <v>32</v>
      </c>
      <c r="D86" s="5">
        <v>44000</v>
      </c>
      <c r="E86" s="1" t="s">
        <v>69</v>
      </c>
      <c r="F86" s="1" t="s">
        <v>35</v>
      </c>
      <c r="G86" s="1" t="s">
        <v>90</v>
      </c>
      <c r="H86" s="1" t="s">
        <v>25</v>
      </c>
      <c r="I86" s="1" t="s">
        <v>39</v>
      </c>
      <c r="J86" s="6">
        <v>580000</v>
      </c>
      <c r="K86" s="7">
        <v>50000</v>
      </c>
      <c r="L86" s="7">
        <f t="shared" si="12"/>
        <v>630000</v>
      </c>
      <c r="M86" s="1">
        <v>7</v>
      </c>
      <c r="N86" s="8">
        <v>4.0999999999999996</v>
      </c>
      <c r="O86" s="9">
        <v>97.5</v>
      </c>
      <c r="P86" s="1">
        <v>2</v>
      </c>
      <c r="Q86" s="1" t="s">
        <v>30</v>
      </c>
      <c r="R86" s="1" t="s">
        <v>31</v>
      </c>
      <c r="S86" s="1" t="s">
        <v>50</v>
      </c>
      <c r="T86" s="1" t="s">
        <v>32</v>
      </c>
      <c r="U86" t="str">
        <f>VLOOKUP(A86,Emp_Info!$B$1:$G$101,3,0)</f>
        <v>ritu</v>
      </c>
      <c r="V86" t="str">
        <f>_xlfn.XLOOKUP(A86,Emp_Info!$B$2:$B$101,Emp_Info!$A$2:$A$101,,0)</f>
        <v>saxena</v>
      </c>
      <c r="W86" s="3" t="str">
        <f t="shared" si="13"/>
        <v>Ritu Saxena</v>
      </c>
      <c r="X86" t="str">
        <f t="shared" si="14"/>
        <v>RS016</v>
      </c>
      <c r="Y86" t="str">
        <f>HLOOKUP(F86,Dept_Info!$A$2:$I$3,2,0)</f>
        <v>HR</v>
      </c>
      <c r="Z86">
        <f t="shared" si="15"/>
        <v>630000</v>
      </c>
      <c r="AA86" t="str">
        <f t="shared" si="16"/>
        <v>Low</v>
      </c>
      <c r="AB86" t="s">
        <v>323</v>
      </c>
      <c r="AC86" t="str">
        <f>INDEX(Emp_Info!$B$1:$G$101,MATCH(HR_Data!$A39,Emp_Info!$B$2:$B$101,0),MATCH(HR_Data!AC$1,Emp_Info!$B$1:$G$1,0))</f>
        <v>Bachelor</v>
      </c>
      <c r="AD86" t="str">
        <f>INDEX(Emp_Info!$A$1:$G$101,MATCH(HR_Data!$A86,Emp_Info!$B$1:$B$101,0),MATCH(HR_Data!AD$1,Emp_Info!$A$1:$G$1,0))</f>
        <v>Mumbai</v>
      </c>
      <c r="AE86" t="str">
        <f>INDEX(Emp_Info!$A$1:$G$101,MATCH(HR_Data!$A86,Emp_Info!$B$1:$B$101,0),MATCH(HR_Data!AE$1,Emp_Info!$A$1:$G$1,0))</f>
        <v>West</v>
      </c>
      <c r="AF86" t="str">
        <f t="shared" si="17"/>
        <v>Not Eligible</v>
      </c>
    </row>
    <row r="87" spans="1:32" x14ac:dyDescent="0.35">
      <c r="A87" s="1" t="s">
        <v>141</v>
      </c>
      <c r="B87" s="5">
        <v>34553</v>
      </c>
      <c r="C87" s="1">
        <v>30</v>
      </c>
      <c r="D87" s="5">
        <v>44741</v>
      </c>
      <c r="E87" s="1" t="s">
        <v>22</v>
      </c>
      <c r="F87" s="1" t="s">
        <v>52</v>
      </c>
      <c r="G87" s="1" t="s">
        <v>142</v>
      </c>
      <c r="H87" s="1" t="s">
        <v>25</v>
      </c>
      <c r="I87" s="1" t="s">
        <v>55</v>
      </c>
      <c r="J87" s="6">
        <v>580000</v>
      </c>
      <c r="K87" s="7">
        <v>50000</v>
      </c>
      <c r="L87" s="7">
        <f t="shared" si="12"/>
        <v>630000</v>
      </c>
      <c r="M87" s="1">
        <v>5</v>
      </c>
      <c r="N87" s="8">
        <v>4</v>
      </c>
      <c r="O87" s="9">
        <v>95.5</v>
      </c>
      <c r="P87" s="1">
        <v>1</v>
      </c>
      <c r="Q87" s="1" t="s">
        <v>30</v>
      </c>
      <c r="R87" s="1" t="s">
        <v>31</v>
      </c>
      <c r="S87" s="1" t="s">
        <v>50</v>
      </c>
      <c r="T87" s="1" t="s">
        <v>32</v>
      </c>
      <c r="U87" t="str">
        <f>VLOOKUP(A87,Emp_Info!$B$1:$G$101,3,0)</f>
        <v>sonali</v>
      </c>
      <c r="V87" t="str">
        <f>_xlfn.XLOOKUP(A87,Emp_Info!$B$2:$B$101,Emp_Info!$A$2:$A$101,,0)</f>
        <v>patil</v>
      </c>
      <c r="W87" s="3" t="str">
        <f t="shared" si="13"/>
        <v>Sonali Patil</v>
      </c>
      <c r="X87" t="str">
        <f t="shared" si="14"/>
        <v>SP042</v>
      </c>
      <c r="Y87" t="str">
        <f>HLOOKUP(F87,Dept_Info!$A$2:$I$3,2,0)</f>
        <v>Admin</v>
      </c>
      <c r="Z87">
        <f t="shared" si="15"/>
        <v>630000</v>
      </c>
      <c r="AA87" t="str">
        <f t="shared" si="16"/>
        <v>Low</v>
      </c>
      <c r="AB87" t="s">
        <v>264</v>
      </c>
      <c r="AC87" t="str">
        <f>INDEX(Emp_Info!$B$1:$G$101,MATCH(HR_Data!$A14,Emp_Info!$B$2:$B$101,0),MATCH(HR_Data!AC$1,Emp_Info!$B$1:$G$1,0))</f>
        <v>Bachelor</v>
      </c>
      <c r="AD87" t="str">
        <f>INDEX(Emp_Info!$A$1:$G$101,MATCH(HR_Data!$A87,Emp_Info!$B$1:$B$101,0),MATCH(HR_Data!AD$1,Emp_Info!$A$1:$G$1,0))</f>
        <v>Pune</v>
      </c>
      <c r="AE87" t="str">
        <f>INDEX(Emp_Info!$A$1:$G$101,MATCH(HR_Data!$A87,Emp_Info!$B$1:$B$101,0),MATCH(HR_Data!AE$1,Emp_Info!$A$1:$G$1,0))</f>
        <v>West</v>
      </c>
      <c r="AF87" t="str">
        <f t="shared" si="17"/>
        <v>Not Eligible</v>
      </c>
    </row>
    <row r="88" spans="1:32" x14ac:dyDescent="0.35">
      <c r="A88" s="1" t="s">
        <v>76</v>
      </c>
      <c r="B88" s="5">
        <v>34619</v>
      </c>
      <c r="C88" s="1">
        <v>30</v>
      </c>
      <c r="D88" s="5">
        <v>44793</v>
      </c>
      <c r="E88" s="1" t="s">
        <v>22</v>
      </c>
      <c r="F88" s="1" t="s">
        <v>52</v>
      </c>
      <c r="G88" s="1" t="s">
        <v>77</v>
      </c>
      <c r="H88" s="1" t="s">
        <v>25</v>
      </c>
      <c r="I88" s="1" t="s">
        <v>55</v>
      </c>
      <c r="J88" s="6">
        <v>580000</v>
      </c>
      <c r="K88" s="7">
        <v>48000</v>
      </c>
      <c r="L88" s="7">
        <f t="shared" si="12"/>
        <v>628000</v>
      </c>
      <c r="M88" s="1">
        <v>5</v>
      </c>
      <c r="N88" s="8">
        <v>4</v>
      </c>
      <c r="O88" s="9">
        <v>96.2</v>
      </c>
      <c r="P88" s="1">
        <v>2</v>
      </c>
      <c r="Q88" s="1" t="s">
        <v>30</v>
      </c>
      <c r="R88" s="1" t="s">
        <v>31</v>
      </c>
      <c r="S88" s="1" t="s">
        <v>50</v>
      </c>
      <c r="T88" s="1" t="s">
        <v>32</v>
      </c>
      <c r="U88" t="str">
        <f>VLOOKUP(A88,Emp_Info!$B$1:$G$101,3,0)</f>
        <v>deepa</v>
      </c>
      <c r="V88" t="str">
        <f>_xlfn.XLOOKUP(A88,Emp_Info!$B$2:$B$101,Emp_Info!$A$2:$A$101,,0)</f>
        <v>iyer</v>
      </c>
      <c r="W88" s="3" t="str">
        <f t="shared" si="13"/>
        <v>Deepa Iyer</v>
      </c>
      <c r="X88" t="str">
        <f t="shared" si="14"/>
        <v>DI010</v>
      </c>
      <c r="Y88" t="str">
        <f>HLOOKUP(F88,Dept_Info!$A$2:$I$3,2,0)</f>
        <v>Admin</v>
      </c>
      <c r="Z88">
        <f t="shared" si="15"/>
        <v>628000</v>
      </c>
      <c r="AA88" t="str">
        <f t="shared" si="16"/>
        <v>Low</v>
      </c>
      <c r="AB88" t="s">
        <v>264</v>
      </c>
      <c r="AC88" t="str">
        <f>INDEX(Emp_Info!$B$1:$G$101,MATCH(HR_Data!$A13,Emp_Info!$B$2:$B$101,0),MATCH(HR_Data!AC$1,Emp_Info!$B$1:$G$1,0))</f>
        <v>Master</v>
      </c>
      <c r="AD88" t="str">
        <f>INDEX(Emp_Info!$A$1:$G$101,MATCH(HR_Data!$A88,Emp_Info!$B$1:$B$101,0),MATCH(HR_Data!AD$1,Emp_Info!$A$1:$G$1,0))</f>
        <v>Mumbai</v>
      </c>
      <c r="AE88" t="str">
        <f>INDEX(Emp_Info!$A$1:$G$101,MATCH(HR_Data!$A88,Emp_Info!$B$1:$B$101,0),MATCH(HR_Data!AE$1,Emp_Info!$A$1:$G$1,0))</f>
        <v>West</v>
      </c>
      <c r="AF88" t="str">
        <f t="shared" si="17"/>
        <v>Not Eligible</v>
      </c>
    </row>
    <row r="89" spans="1:32" x14ac:dyDescent="0.35">
      <c r="A89" s="1" t="s">
        <v>165</v>
      </c>
      <c r="B89" s="5">
        <v>34447</v>
      </c>
      <c r="C89" s="1">
        <v>30</v>
      </c>
      <c r="D89" s="5">
        <v>44829</v>
      </c>
      <c r="E89" s="1" t="s">
        <v>42</v>
      </c>
      <c r="F89" s="1" t="s">
        <v>52</v>
      </c>
      <c r="G89" s="1" t="s">
        <v>166</v>
      </c>
      <c r="H89" s="1" t="s">
        <v>25</v>
      </c>
      <c r="I89" s="1" t="s">
        <v>55</v>
      </c>
      <c r="J89" s="6">
        <v>560000</v>
      </c>
      <c r="K89" s="7">
        <v>48000</v>
      </c>
      <c r="L89" s="7">
        <f t="shared" si="12"/>
        <v>608000</v>
      </c>
      <c r="M89" s="1">
        <v>5</v>
      </c>
      <c r="N89" s="8">
        <v>3.9</v>
      </c>
      <c r="O89" s="9">
        <v>94.2</v>
      </c>
      <c r="P89" s="1">
        <v>2</v>
      </c>
      <c r="Q89" s="1" t="s">
        <v>30</v>
      </c>
      <c r="R89" s="1" t="s">
        <v>49</v>
      </c>
      <c r="S89" s="1" t="s">
        <v>50</v>
      </c>
      <c r="T89" s="1" t="s">
        <v>32</v>
      </c>
      <c r="U89" t="str">
        <f>VLOOKUP(A89,Emp_Info!$B$1:$G$101,3,0)</f>
        <v>seema</v>
      </c>
      <c r="V89" t="str">
        <f>_xlfn.XLOOKUP(A89,Emp_Info!$B$2:$B$101,Emp_Info!$A$2:$A$101,,0)</f>
        <v>chopra</v>
      </c>
      <c r="W89" s="3" t="str">
        <f t="shared" si="13"/>
        <v>Seema Chopra</v>
      </c>
      <c r="X89" t="str">
        <f t="shared" si="14"/>
        <v>SC054</v>
      </c>
      <c r="Y89" t="str">
        <f>HLOOKUP(F89,Dept_Info!$A$2:$I$3,2,0)</f>
        <v>Admin</v>
      </c>
      <c r="Z89">
        <f t="shared" si="15"/>
        <v>608000</v>
      </c>
      <c r="AA89" t="str">
        <f t="shared" si="16"/>
        <v>Low</v>
      </c>
      <c r="AB89" t="s">
        <v>264</v>
      </c>
      <c r="AC89" t="str">
        <f>INDEX(Emp_Info!$B$1:$G$101,MATCH(HR_Data!$A15,Emp_Info!$B$2:$B$101,0),MATCH(HR_Data!AC$1,Emp_Info!$B$1:$G$1,0))</f>
        <v>Bachelor</v>
      </c>
      <c r="AD89" t="str">
        <f>INDEX(Emp_Info!$A$1:$G$101,MATCH(HR_Data!$A89,Emp_Info!$B$1:$B$101,0),MATCH(HR_Data!AD$1,Emp_Info!$A$1:$G$1,0))</f>
        <v>Pune</v>
      </c>
      <c r="AE89" t="str">
        <f>INDEX(Emp_Info!$A$1:$G$101,MATCH(HR_Data!$A89,Emp_Info!$B$1:$B$101,0),MATCH(HR_Data!AE$1,Emp_Info!$A$1:$G$1,0))</f>
        <v>West</v>
      </c>
      <c r="AF89" t="str">
        <f t="shared" si="17"/>
        <v>Not Eligible</v>
      </c>
    </row>
    <row r="90" spans="1:32" x14ac:dyDescent="0.35">
      <c r="A90" s="1" t="s">
        <v>125</v>
      </c>
      <c r="B90" s="5">
        <v>34339</v>
      </c>
      <c r="C90" s="1">
        <v>30</v>
      </c>
      <c r="D90" s="5">
        <v>44800</v>
      </c>
      <c r="E90" s="1" t="s">
        <v>22</v>
      </c>
      <c r="F90" s="1" t="s">
        <v>35</v>
      </c>
      <c r="G90" s="1" t="s">
        <v>126</v>
      </c>
      <c r="H90" s="1" t="s">
        <v>25</v>
      </c>
      <c r="I90" s="1" t="s">
        <v>39</v>
      </c>
      <c r="J90" s="6">
        <v>560000</v>
      </c>
      <c r="K90" s="7">
        <v>48000</v>
      </c>
      <c r="L90" s="7">
        <f t="shared" si="12"/>
        <v>608000</v>
      </c>
      <c r="M90" s="1">
        <v>5</v>
      </c>
      <c r="N90" s="8">
        <v>3.9</v>
      </c>
      <c r="O90" s="9">
        <v>94.8</v>
      </c>
      <c r="P90" s="1">
        <v>1</v>
      </c>
      <c r="Q90" s="1" t="s">
        <v>30</v>
      </c>
      <c r="R90" s="1" t="s">
        <v>49</v>
      </c>
      <c r="S90" s="1" t="s">
        <v>50</v>
      </c>
      <c r="T90" s="1" t="s">
        <v>32</v>
      </c>
      <c r="U90" t="str">
        <f>VLOOKUP(A90,Emp_Info!$B$1:$G$101,3,0)</f>
        <v>isha</v>
      </c>
      <c r="V90" t="str">
        <f>_xlfn.XLOOKUP(A90,Emp_Info!$B$2:$B$101,Emp_Info!$A$2:$A$101,,0)</f>
        <v>khanna</v>
      </c>
      <c r="W90" s="3" t="str">
        <f t="shared" si="13"/>
        <v>Isha Khanna</v>
      </c>
      <c r="X90" t="str">
        <f t="shared" si="14"/>
        <v>IK034</v>
      </c>
      <c r="Y90" t="str">
        <f>HLOOKUP(F90,Dept_Info!$A$2:$I$3,2,0)</f>
        <v>HR</v>
      </c>
      <c r="Z90">
        <f t="shared" si="15"/>
        <v>608000</v>
      </c>
      <c r="AA90" t="str">
        <f t="shared" si="16"/>
        <v>Low</v>
      </c>
      <c r="AB90" t="s">
        <v>264</v>
      </c>
      <c r="AC90" t="str">
        <f>INDEX(Emp_Info!$B$1:$G$101,MATCH(HR_Data!$A45,Emp_Info!$B$2:$B$101,0),MATCH(HR_Data!AC$1,Emp_Info!$B$1:$G$1,0))</f>
        <v>Bachelor</v>
      </c>
      <c r="AD90" t="str">
        <f>INDEX(Emp_Info!$A$1:$G$101,MATCH(HR_Data!$A90,Emp_Info!$B$1:$B$101,0),MATCH(HR_Data!AD$1,Emp_Info!$A$1:$G$1,0))</f>
        <v>Noida</v>
      </c>
      <c r="AE90" t="str">
        <f>INDEX(Emp_Info!$A$1:$G$101,MATCH(HR_Data!$A90,Emp_Info!$B$1:$B$101,0),MATCH(HR_Data!AE$1,Emp_Info!$A$1:$G$1,0))</f>
        <v>North</v>
      </c>
      <c r="AF90" t="str">
        <f t="shared" si="17"/>
        <v>Not Eligible</v>
      </c>
    </row>
    <row r="91" spans="1:32" x14ac:dyDescent="0.35">
      <c r="A91" s="1" t="s">
        <v>189</v>
      </c>
      <c r="B91" s="5">
        <v>34482</v>
      </c>
      <c r="C91" s="1">
        <v>30</v>
      </c>
      <c r="D91" s="5">
        <v>44763</v>
      </c>
      <c r="E91" s="1" t="s">
        <v>69</v>
      </c>
      <c r="F91" s="1" t="s">
        <v>52</v>
      </c>
      <c r="G91" s="1" t="s">
        <v>190</v>
      </c>
      <c r="H91" s="1" t="s">
        <v>25</v>
      </c>
      <c r="I91" s="1" t="s">
        <v>55</v>
      </c>
      <c r="J91" s="6">
        <v>550000</v>
      </c>
      <c r="K91" s="7">
        <v>46000</v>
      </c>
      <c r="L91" s="7">
        <f t="shared" si="12"/>
        <v>596000</v>
      </c>
      <c r="M91" s="1">
        <v>5</v>
      </c>
      <c r="N91" s="8">
        <v>3.8</v>
      </c>
      <c r="O91" s="9">
        <v>93.8</v>
      </c>
      <c r="P91" s="1">
        <v>1</v>
      </c>
      <c r="Q91" s="1" t="s">
        <v>30</v>
      </c>
      <c r="R91" s="1" t="s">
        <v>49</v>
      </c>
      <c r="S91" s="1" t="s">
        <v>50</v>
      </c>
      <c r="T91" s="1" t="s">
        <v>32</v>
      </c>
      <c r="U91" t="str">
        <f>VLOOKUP(A91,Emp_Info!$B$1:$G$101,3,0)</f>
        <v>lakshmi</v>
      </c>
      <c r="V91" t="str">
        <f>_xlfn.XLOOKUP(A91,Emp_Info!$B$2:$B$101,Emp_Info!$A$2:$A$101,,0)</f>
        <v>menon</v>
      </c>
      <c r="W91" s="3" t="str">
        <f t="shared" si="13"/>
        <v>Lakshmi Menon</v>
      </c>
      <c r="X91" t="str">
        <f t="shared" si="14"/>
        <v>LM066</v>
      </c>
      <c r="Y91" t="str">
        <f>HLOOKUP(F91,Dept_Info!$A$2:$I$3,2,0)</f>
        <v>Admin</v>
      </c>
      <c r="Z91">
        <f t="shared" si="15"/>
        <v>596000</v>
      </c>
      <c r="AA91" t="str">
        <f t="shared" si="16"/>
        <v>Low</v>
      </c>
      <c r="AB91" t="s">
        <v>264</v>
      </c>
      <c r="AC91" t="str">
        <f>INDEX(Emp_Info!$B$1:$G$101,MATCH(HR_Data!$A16,Emp_Info!$B$2:$B$101,0),MATCH(HR_Data!AC$1,Emp_Info!$B$1:$G$1,0))</f>
        <v>Bachelor</v>
      </c>
      <c r="AD91" t="str">
        <f>INDEX(Emp_Info!$A$1:$G$101,MATCH(HR_Data!$A91,Emp_Info!$B$1:$B$101,0),MATCH(HR_Data!AD$1,Emp_Info!$A$1:$G$1,0))</f>
        <v>Chennai</v>
      </c>
      <c r="AE91" t="str">
        <f>INDEX(Emp_Info!$A$1:$G$101,MATCH(HR_Data!$A91,Emp_Info!$B$1:$B$101,0),MATCH(HR_Data!AE$1,Emp_Info!$A$1:$G$1,0))</f>
        <v>South</v>
      </c>
      <c r="AF91" t="str">
        <f t="shared" si="17"/>
        <v>Not Eligible</v>
      </c>
    </row>
    <row r="92" spans="1:32" x14ac:dyDescent="0.35">
      <c r="A92" s="1" t="s">
        <v>117</v>
      </c>
      <c r="B92" s="5">
        <v>34931</v>
      </c>
      <c r="C92" s="1">
        <v>29</v>
      </c>
      <c r="D92" s="5">
        <v>44969</v>
      </c>
      <c r="E92" s="1" t="s">
        <v>34</v>
      </c>
      <c r="F92" s="1" t="s">
        <v>52</v>
      </c>
      <c r="G92" s="1" t="s">
        <v>118</v>
      </c>
      <c r="H92" s="1" t="s">
        <v>25</v>
      </c>
      <c r="I92" s="1" t="s">
        <v>55</v>
      </c>
      <c r="J92" s="6">
        <v>550000</v>
      </c>
      <c r="K92" s="7">
        <v>45000</v>
      </c>
      <c r="L92" s="7">
        <f t="shared" si="12"/>
        <v>595000</v>
      </c>
      <c r="M92" s="1">
        <v>4</v>
      </c>
      <c r="N92" s="8">
        <v>3.8</v>
      </c>
      <c r="O92" s="9">
        <v>93.2</v>
      </c>
      <c r="P92" s="1">
        <v>1</v>
      </c>
      <c r="Q92" s="1" t="s">
        <v>30</v>
      </c>
      <c r="R92" s="1" t="s">
        <v>49</v>
      </c>
      <c r="S92" s="1" t="s">
        <v>50</v>
      </c>
      <c r="T92" s="1" t="s">
        <v>32</v>
      </c>
      <c r="U92" t="str">
        <f>VLOOKUP(A92,Emp_Info!$B$1:$G$101,3,0)</f>
        <v>shweta</v>
      </c>
      <c r="V92" t="str">
        <f>_xlfn.XLOOKUP(A92,Emp_Info!$B$2:$B$101,Emp_Info!$A$2:$A$101,,0)</f>
        <v>bhatt</v>
      </c>
      <c r="W92" s="3" t="str">
        <f t="shared" si="13"/>
        <v>Shweta Bhatt</v>
      </c>
      <c r="X92" t="str">
        <f t="shared" si="14"/>
        <v>SB030</v>
      </c>
      <c r="Y92" t="str">
        <f>HLOOKUP(F92,Dept_Info!$A$2:$I$3,2,0)</f>
        <v>Admin</v>
      </c>
      <c r="Z92">
        <f t="shared" si="15"/>
        <v>595000</v>
      </c>
      <c r="AA92" t="str">
        <f t="shared" si="16"/>
        <v>Low</v>
      </c>
      <c r="AB92" t="s">
        <v>264</v>
      </c>
      <c r="AC92" t="str">
        <f>INDEX(Emp_Info!$B$1:$G$101,MATCH(HR_Data!$A17,Emp_Info!$B$2:$B$101,0),MATCH(HR_Data!AC$1,Emp_Info!$B$1:$G$1,0))</f>
        <v>Education_Level</v>
      </c>
      <c r="AD92" t="str">
        <f>INDEX(Emp_Info!$A$1:$G$101,MATCH(HR_Data!$A92,Emp_Info!$B$1:$B$101,0),MATCH(HR_Data!AD$1,Emp_Info!$A$1:$G$1,0))</f>
        <v>Delhi</v>
      </c>
      <c r="AE92" t="str">
        <f>INDEX(Emp_Info!$A$1:$G$101,MATCH(HR_Data!$A92,Emp_Info!$B$1:$B$101,0),MATCH(HR_Data!AE$1,Emp_Info!$A$1:$G$1,0))</f>
        <v>North</v>
      </c>
      <c r="AF92" t="str">
        <f t="shared" si="17"/>
        <v>Not Eligible</v>
      </c>
    </row>
    <row r="93" spans="1:32" x14ac:dyDescent="0.35">
      <c r="A93" s="1" t="s">
        <v>149</v>
      </c>
      <c r="B93" s="5">
        <v>34875</v>
      </c>
      <c r="C93" s="1">
        <v>29</v>
      </c>
      <c r="D93" s="5">
        <v>44939</v>
      </c>
      <c r="E93" s="1" t="s">
        <v>57</v>
      </c>
      <c r="F93" s="1" t="s">
        <v>23</v>
      </c>
      <c r="G93" s="1" t="s">
        <v>150</v>
      </c>
      <c r="H93" s="1" t="s">
        <v>25</v>
      </c>
      <c r="I93" s="1" t="s">
        <v>28</v>
      </c>
      <c r="J93" s="6">
        <v>540000</v>
      </c>
      <c r="K93" s="7">
        <v>42000</v>
      </c>
      <c r="L93" s="7">
        <f t="shared" si="12"/>
        <v>582000</v>
      </c>
      <c r="M93" s="1">
        <v>4</v>
      </c>
      <c r="N93" s="8">
        <v>3.8</v>
      </c>
      <c r="O93" s="9">
        <v>93.7</v>
      </c>
      <c r="P93" s="1">
        <v>1</v>
      </c>
      <c r="Q93" s="1" t="s">
        <v>30</v>
      </c>
      <c r="R93" s="1" t="s">
        <v>49</v>
      </c>
      <c r="S93" s="1" t="s">
        <v>50</v>
      </c>
      <c r="T93" s="1" t="s">
        <v>32</v>
      </c>
      <c r="U93" t="str">
        <f>VLOOKUP(A93,Emp_Info!$B$1:$G$101,3,0)</f>
        <v>shruti</v>
      </c>
      <c r="V93" t="str">
        <f>_xlfn.XLOOKUP(A93,Emp_Info!$B$2:$B$101,Emp_Info!$A$2:$A$101,,0)</f>
        <v>rao</v>
      </c>
      <c r="W93" s="3" t="str">
        <f t="shared" si="13"/>
        <v>Shruti Rao</v>
      </c>
      <c r="X93" t="str">
        <f t="shared" si="14"/>
        <v>SR046</v>
      </c>
      <c r="Y93" t="str">
        <f>HLOOKUP(F93,Dept_Info!$A$2:$I$3,2,0)</f>
        <v>IT</v>
      </c>
      <c r="Z93">
        <f t="shared" si="15"/>
        <v>582000</v>
      </c>
      <c r="AA93" t="str">
        <f t="shared" si="16"/>
        <v>Low</v>
      </c>
      <c r="AB93" t="s">
        <v>264</v>
      </c>
      <c r="AC93" t="str">
        <f>INDEX(Emp_Info!$B$1:$G$101,MATCH(HR_Data!$A67,Emp_Info!$B$2:$B$101,0),MATCH(HR_Data!AC$1,Emp_Info!$B$1:$G$1,0))</f>
        <v>Master</v>
      </c>
      <c r="AD93" t="str">
        <f>INDEX(Emp_Info!$A$1:$G$101,MATCH(HR_Data!$A93,Emp_Info!$B$1:$B$101,0),MATCH(HR_Data!AD$1,Emp_Info!$A$1:$G$1,0))</f>
        <v>Delhi</v>
      </c>
      <c r="AE93" t="str">
        <f>INDEX(Emp_Info!$A$1:$G$101,MATCH(HR_Data!$A93,Emp_Info!$B$1:$B$101,0),MATCH(HR_Data!AE$1,Emp_Info!$A$1:$G$1,0))</f>
        <v>North</v>
      </c>
      <c r="AF93" t="str">
        <f t="shared" si="17"/>
        <v>Not Eligible</v>
      </c>
    </row>
    <row r="94" spans="1:32" x14ac:dyDescent="0.35">
      <c r="A94" s="1" t="s">
        <v>201</v>
      </c>
      <c r="B94" s="5">
        <v>33827</v>
      </c>
      <c r="C94" s="1">
        <v>32</v>
      </c>
      <c r="D94" s="5">
        <v>43970</v>
      </c>
      <c r="E94" s="1" t="s">
        <v>34</v>
      </c>
      <c r="F94" s="1" t="s">
        <v>52</v>
      </c>
      <c r="G94" s="1" t="s">
        <v>202</v>
      </c>
      <c r="H94" s="1" t="s">
        <v>71</v>
      </c>
      <c r="I94" s="1" t="s">
        <v>55</v>
      </c>
      <c r="J94" s="6">
        <v>520000</v>
      </c>
      <c r="K94" s="7">
        <v>42000</v>
      </c>
      <c r="L94" s="7">
        <f t="shared" si="12"/>
        <v>562000</v>
      </c>
      <c r="M94" s="1">
        <v>7</v>
      </c>
      <c r="N94" s="8">
        <v>3.7</v>
      </c>
      <c r="O94" s="9">
        <v>92.7</v>
      </c>
      <c r="P94" s="1">
        <v>1</v>
      </c>
      <c r="Q94" s="1" t="s">
        <v>48</v>
      </c>
      <c r="R94" s="1" t="s">
        <v>72</v>
      </c>
      <c r="S94" s="1" t="s">
        <v>50</v>
      </c>
      <c r="T94" s="1" t="s">
        <v>32</v>
      </c>
      <c r="U94" t="str">
        <f>VLOOKUP(A94,Emp_Info!$B$1:$G$101,3,0)</f>
        <v>vidya</v>
      </c>
      <c r="V94" t="str">
        <f>_xlfn.XLOOKUP(A94,Emp_Info!$B$2:$B$101,Emp_Info!$A$2:$A$101,,0)</f>
        <v>mishra</v>
      </c>
      <c r="W94" s="3" t="str">
        <f t="shared" si="13"/>
        <v>Vidya Mishra</v>
      </c>
      <c r="X94" t="str">
        <f t="shared" si="14"/>
        <v>VM072</v>
      </c>
      <c r="Y94" t="str">
        <f>HLOOKUP(F94,Dept_Info!$A$2:$I$3,2,0)</f>
        <v>Admin</v>
      </c>
      <c r="Z94">
        <f t="shared" si="15"/>
        <v>562000</v>
      </c>
      <c r="AA94" t="str">
        <f t="shared" si="16"/>
        <v>Low</v>
      </c>
      <c r="AB94" t="s">
        <v>264</v>
      </c>
      <c r="AC94" t="str">
        <f>INDEX(Emp_Info!$B$1:$G$101,MATCH(HR_Data!$A9,Emp_Info!$B$2:$B$101,0),MATCH(HR_Data!AC$1,Emp_Info!$B$1:$G$1,0))</f>
        <v>Master</v>
      </c>
      <c r="AD94" t="str">
        <f>INDEX(Emp_Info!$A$1:$G$101,MATCH(HR_Data!$A94,Emp_Info!$B$1:$B$101,0),MATCH(HR_Data!AD$1,Emp_Info!$A$1:$G$1,0))</f>
        <v>Pune</v>
      </c>
      <c r="AE94" t="str">
        <f>INDEX(Emp_Info!$A$1:$G$101,MATCH(HR_Data!$A94,Emp_Info!$B$1:$B$101,0),MATCH(HR_Data!AE$1,Emp_Info!$A$1:$G$1,0))</f>
        <v>West</v>
      </c>
      <c r="AF94" t="str">
        <f t="shared" si="17"/>
        <v>Not Eligible</v>
      </c>
    </row>
    <row r="95" spans="1:32" x14ac:dyDescent="0.35">
      <c r="A95" s="1" t="s">
        <v>85</v>
      </c>
      <c r="B95" s="5">
        <v>34774</v>
      </c>
      <c r="C95" s="1">
        <v>29</v>
      </c>
      <c r="D95" s="5">
        <v>44940</v>
      </c>
      <c r="E95" s="1" t="s">
        <v>421</v>
      </c>
      <c r="F95" s="1" t="s">
        <v>23</v>
      </c>
      <c r="G95" s="1" t="s">
        <v>86</v>
      </c>
      <c r="H95" s="1" t="s">
        <v>25</v>
      </c>
      <c r="I95" s="1" t="s">
        <v>28</v>
      </c>
      <c r="J95" s="6">
        <v>520000</v>
      </c>
      <c r="K95" s="7">
        <v>40000</v>
      </c>
      <c r="L95" s="7">
        <f t="shared" si="12"/>
        <v>560000</v>
      </c>
      <c r="M95" s="1">
        <v>4</v>
      </c>
      <c r="N95" s="8">
        <v>3.8</v>
      </c>
      <c r="O95" s="9">
        <v>94</v>
      </c>
      <c r="P95" s="1">
        <v>1</v>
      </c>
      <c r="Q95" s="1" t="s">
        <v>30</v>
      </c>
      <c r="R95" s="1" t="s">
        <v>49</v>
      </c>
      <c r="S95" s="1" t="s">
        <v>50</v>
      </c>
      <c r="T95" s="1" t="s">
        <v>32</v>
      </c>
      <c r="U95" t="str">
        <f>VLOOKUP(A95,Emp_Info!$B$1:$G$101,3,0)</f>
        <v>neha</v>
      </c>
      <c r="V95" t="str">
        <f>_xlfn.XLOOKUP(A95,Emp_Info!$B$2:$B$101,Emp_Info!$A$2:$A$101,,0)</f>
        <v>verma</v>
      </c>
      <c r="W95" s="3" t="str">
        <f t="shared" si="13"/>
        <v>Neha Verma</v>
      </c>
      <c r="X95" t="str">
        <f t="shared" si="14"/>
        <v>NV014</v>
      </c>
      <c r="Y95" t="str">
        <f>HLOOKUP(F95,Dept_Info!$A$2:$I$3,2,0)</f>
        <v>IT</v>
      </c>
      <c r="Z95">
        <f t="shared" si="15"/>
        <v>560000</v>
      </c>
      <c r="AA95" t="str">
        <f t="shared" si="16"/>
        <v>Low</v>
      </c>
      <c r="AB95" t="s">
        <v>264</v>
      </c>
      <c r="AC95" t="str">
        <f>INDEX(Emp_Info!$B$1:$G$101,MATCH(HR_Data!$A66,Emp_Info!$B$2:$B$101,0),MATCH(HR_Data!AC$1,Emp_Info!$B$1:$G$1,0))</f>
        <v>Master</v>
      </c>
      <c r="AD95" t="str">
        <f>INDEX(Emp_Info!$A$1:$G$101,MATCH(HR_Data!$A95,Emp_Info!$B$1:$B$101,0),MATCH(HR_Data!AD$1,Emp_Info!$A$1:$G$1,0))</f>
        <v>Bangalore</v>
      </c>
      <c r="AE95" t="str">
        <f>INDEX(Emp_Info!$A$1:$G$101,MATCH(HR_Data!$A95,Emp_Info!$B$1:$B$101,0),MATCH(HR_Data!AE$1,Emp_Info!$A$1:$G$1,0))</f>
        <v>South</v>
      </c>
      <c r="AF95" t="str">
        <f t="shared" si="17"/>
        <v>Not Eligible</v>
      </c>
    </row>
    <row r="96" spans="1:32" x14ac:dyDescent="0.35">
      <c r="A96" s="1" t="s">
        <v>133</v>
      </c>
      <c r="B96" s="5">
        <v>34284</v>
      </c>
      <c r="C96" s="1">
        <v>31</v>
      </c>
      <c r="D96" s="5">
        <v>44457</v>
      </c>
      <c r="E96" s="1" t="s">
        <v>57</v>
      </c>
      <c r="F96" s="1" t="s">
        <v>65</v>
      </c>
      <c r="G96" s="1" t="s">
        <v>134</v>
      </c>
      <c r="H96" s="1" t="s">
        <v>71</v>
      </c>
      <c r="I96" s="1" t="s">
        <v>67</v>
      </c>
      <c r="J96" s="6">
        <v>490000</v>
      </c>
      <c r="K96" s="7">
        <v>38000</v>
      </c>
      <c r="L96" s="7">
        <f t="shared" si="12"/>
        <v>528000</v>
      </c>
      <c r="M96" s="1">
        <v>6</v>
      </c>
      <c r="N96" s="8">
        <v>3.7</v>
      </c>
      <c r="O96" s="9">
        <v>92.5</v>
      </c>
      <c r="P96" s="1">
        <v>1</v>
      </c>
      <c r="Q96" s="1" t="s">
        <v>48</v>
      </c>
      <c r="R96" s="1" t="s">
        <v>72</v>
      </c>
      <c r="S96" s="1" t="s">
        <v>50</v>
      </c>
      <c r="T96" s="1" t="s">
        <v>32</v>
      </c>
      <c r="U96" t="str">
        <f>VLOOKUP(A96,Emp_Info!$B$1:$G$101,3,0)</f>
        <v>rekha</v>
      </c>
      <c r="V96" t="str">
        <f>_xlfn.XLOOKUP(A96,Emp_Info!$B$2:$B$101,Emp_Info!$A$2:$A$101,,0)</f>
        <v>pillai</v>
      </c>
      <c r="W96" s="3" t="str">
        <f t="shared" si="13"/>
        <v>Rekha Pillai</v>
      </c>
      <c r="X96" t="str">
        <f t="shared" si="14"/>
        <v>RP038</v>
      </c>
      <c r="Y96" t="str">
        <f>HLOOKUP(F96,Dept_Info!$A$2:$I$3,2,0)</f>
        <v>Sales</v>
      </c>
      <c r="Z96">
        <f t="shared" si="15"/>
        <v>607200</v>
      </c>
      <c r="AA96" t="str">
        <f t="shared" si="16"/>
        <v>Low</v>
      </c>
      <c r="AB96" t="s">
        <v>264</v>
      </c>
      <c r="AC96" t="str">
        <f>INDEX(Emp_Info!$B$1:$G$101,MATCH(HR_Data!$A101,Emp_Info!$B$2:$B$101,0),MATCH(HR_Data!AC$1,Emp_Info!$B$1:$G$1,0))</f>
        <v>Bachelor</v>
      </c>
      <c r="AD96" t="str">
        <f>INDEX(Emp_Info!$A$1:$G$101,MATCH(HR_Data!$A96,Emp_Info!$B$1:$B$101,0),MATCH(HR_Data!AD$1,Emp_Info!$A$1:$G$1,0))</f>
        <v>Mumbai</v>
      </c>
      <c r="AE96" t="str">
        <f>INDEX(Emp_Info!$A$1:$G$101,MATCH(HR_Data!$A96,Emp_Info!$B$1:$B$101,0),MATCH(HR_Data!AE$1,Emp_Info!$A$1:$G$1,0))</f>
        <v>West</v>
      </c>
      <c r="AF96" t="str">
        <f t="shared" si="17"/>
        <v>Not Eligible</v>
      </c>
    </row>
    <row r="97" spans="1:32" x14ac:dyDescent="0.35">
      <c r="A97" s="1" t="s">
        <v>173</v>
      </c>
      <c r="B97" s="5">
        <v>35023</v>
      </c>
      <c r="C97" s="1">
        <v>29</v>
      </c>
      <c r="D97" s="5">
        <v>44976</v>
      </c>
      <c r="E97" s="1" t="s">
        <v>42</v>
      </c>
      <c r="F97" s="1" t="s">
        <v>23</v>
      </c>
      <c r="G97" s="1" t="s">
        <v>174</v>
      </c>
      <c r="H97" s="1" t="s">
        <v>71</v>
      </c>
      <c r="I97" s="1" t="s">
        <v>28</v>
      </c>
      <c r="J97" s="6">
        <v>480000</v>
      </c>
      <c r="K97" s="7">
        <v>36000</v>
      </c>
      <c r="L97" s="7">
        <f t="shared" si="12"/>
        <v>516000</v>
      </c>
      <c r="M97" s="1">
        <v>4</v>
      </c>
      <c r="N97" s="8">
        <v>3.7</v>
      </c>
      <c r="O97" s="9">
        <v>92.3</v>
      </c>
      <c r="P97" s="1">
        <v>1</v>
      </c>
      <c r="Q97" s="1" t="s">
        <v>48</v>
      </c>
      <c r="R97" s="1" t="s">
        <v>72</v>
      </c>
      <c r="S97" s="1" t="s">
        <v>50</v>
      </c>
      <c r="T97" s="1" t="s">
        <v>32</v>
      </c>
      <c r="U97" t="str">
        <f>VLOOKUP(A97,Emp_Info!$B$1:$G$101,3,0)</f>
        <v>ritika</v>
      </c>
      <c r="V97" t="str">
        <f>_xlfn.XLOOKUP(A97,Emp_Info!$B$2:$B$101,Emp_Info!$A$2:$A$101,,0)</f>
        <v>bhatt</v>
      </c>
      <c r="W97" s="3" t="str">
        <f t="shared" si="13"/>
        <v>Ritika Bhatt</v>
      </c>
      <c r="X97" t="str">
        <f t="shared" si="14"/>
        <v>RB058</v>
      </c>
      <c r="Y97" t="str">
        <f>HLOOKUP(F97,Dept_Info!$A$2:$I$3,2,0)</f>
        <v>IT</v>
      </c>
      <c r="Z97">
        <f t="shared" si="15"/>
        <v>516000</v>
      </c>
      <c r="AA97" t="str">
        <f t="shared" si="16"/>
        <v>Low</v>
      </c>
      <c r="AB97" t="s">
        <v>264</v>
      </c>
      <c r="AC97" t="str">
        <f>INDEX(Emp_Info!$B$1:$G$101,MATCH(HR_Data!$A68,Emp_Info!$B$2:$B$101,0),MATCH(HR_Data!AC$1,Emp_Info!$B$1:$G$1,0))</f>
        <v>Master</v>
      </c>
      <c r="AD97" t="str">
        <f>INDEX(Emp_Info!$A$1:$G$101,MATCH(HR_Data!$A97,Emp_Info!$B$1:$B$101,0),MATCH(HR_Data!AD$1,Emp_Info!$A$1:$G$1,0))</f>
        <v>Noida</v>
      </c>
      <c r="AE97" t="str">
        <f>INDEX(Emp_Info!$A$1:$G$101,MATCH(HR_Data!$A97,Emp_Info!$B$1:$B$101,0),MATCH(HR_Data!AE$1,Emp_Info!$A$1:$G$1,0))</f>
        <v>North</v>
      </c>
      <c r="AF97" t="str">
        <f t="shared" si="17"/>
        <v>Not Eligible</v>
      </c>
    </row>
    <row r="98" spans="1:32" x14ac:dyDescent="0.35">
      <c r="A98" s="1" t="s">
        <v>68</v>
      </c>
      <c r="B98" s="5">
        <v>34008</v>
      </c>
      <c r="C98" s="1"/>
      <c r="D98" s="5">
        <v>44333</v>
      </c>
      <c r="E98" s="1" t="s">
        <v>69</v>
      </c>
      <c r="F98" s="1" t="s">
        <v>35</v>
      </c>
      <c r="G98" s="1" t="s">
        <v>70</v>
      </c>
      <c r="H98" s="1" t="s">
        <v>71</v>
      </c>
      <c r="I98" s="1" t="s">
        <v>39</v>
      </c>
      <c r="J98" s="6">
        <v>480000</v>
      </c>
      <c r="K98" s="7">
        <v>35000</v>
      </c>
      <c r="L98" s="7">
        <f t="shared" ref="L98:L129" si="18">SUM(J98:K98)</f>
        <v>515000</v>
      </c>
      <c r="M98" s="1">
        <v>6</v>
      </c>
      <c r="N98" s="8">
        <v>3.9</v>
      </c>
      <c r="O98" s="9">
        <v>93.5</v>
      </c>
      <c r="P98" s="1">
        <v>1</v>
      </c>
      <c r="Q98" s="1" t="s">
        <v>48</v>
      </c>
      <c r="R98" s="1" t="s">
        <v>72</v>
      </c>
      <c r="S98" s="1" t="s">
        <v>50</v>
      </c>
      <c r="T98" s="1" t="s">
        <v>32</v>
      </c>
      <c r="U98" t="str">
        <f>VLOOKUP(A98,Emp_Info!$B$1:$G$101,3,0)</f>
        <v>kavita</v>
      </c>
      <c r="V98" t="str">
        <f>_xlfn.XLOOKUP(A98,Emp_Info!$B$2:$B$101,Emp_Info!$A$2:$A$101,,0)</f>
        <v>joshi</v>
      </c>
      <c r="W98" s="3" t="str">
        <f t="shared" ref="W98:W129" si="19">PROPER(_xlfn.CONCAT(U98," ",V98))</f>
        <v>Kavita Joshi</v>
      </c>
      <c r="X98" t="str">
        <f t="shared" si="14"/>
        <v>KJ008</v>
      </c>
      <c r="Y98" t="str">
        <f>HLOOKUP(F98,Dept_Info!$A$2:$I$3,2,0)</f>
        <v>HR</v>
      </c>
      <c r="Z98">
        <f t="shared" ref="Z98:Z129" si="20">IF(Y98="Sales",L98+(L98*$AG$6),L98)</f>
        <v>515000</v>
      </c>
      <c r="AA98" t="str">
        <f t="shared" si="16"/>
        <v>Low</v>
      </c>
      <c r="AB98" t="s">
        <v>264</v>
      </c>
      <c r="AC98" t="str">
        <f>INDEX(Emp_Info!$B$1:$G$101,MATCH(HR_Data!$A40,Emp_Info!$B$2:$B$101,0),MATCH(HR_Data!AC$1,Emp_Info!$B$1:$G$1,0))</f>
        <v>Bachelor</v>
      </c>
      <c r="AD98" t="str">
        <f>INDEX(Emp_Info!$A$1:$G$101,MATCH(HR_Data!$A98,Emp_Info!$B$1:$B$101,0),MATCH(HR_Data!AD$1,Emp_Info!$A$1:$G$1,0))</f>
        <v>Bangalore</v>
      </c>
      <c r="AE98" t="str">
        <f>INDEX(Emp_Info!$A$1:$G$101,MATCH(HR_Data!$A98,Emp_Info!$B$1:$B$101,0),MATCH(HR_Data!AE$1,Emp_Info!$A$1:$G$1,0))</f>
        <v>South</v>
      </c>
      <c r="AF98" t="str">
        <f t="shared" si="17"/>
        <v>Not Eligible</v>
      </c>
    </row>
    <row r="99" spans="1:32" x14ac:dyDescent="0.35">
      <c r="A99" s="1" t="s">
        <v>153</v>
      </c>
      <c r="B99" s="5">
        <v>33803</v>
      </c>
      <c r="C99" s="1">
        <v>32</v>
      </c>
      <c r="D99" s="5">
        <v>44181</v>
      </c>
      <c r="E99" s="1" t="s">
        <v>22</v>
      </c>
      <c r="F99" s="1" t="s">
        <v>52</v>
      </c>
      <c r="G99" s="1" t="s">
        <v>154</v>
      </c>
      <c r="H99" s="1" t="s">
        <v>71</v>
      </c>
      <c r="I99" s="1" t="s">
        <v>55</v>
      </c>
      <c r="J99" s="6">
        <v>470000</v>
      </c>
      <c r="K99" s="7">
        <v>35000</v>
      </c>
      <c r="L99" s="7">
        <f t="shared" si="18"/>
        <v>505000</v>
      </c>
      <c r="M99" s="1">
        <v>7</v>
      </c>
      <c r="N99" s="8">
        <v>3.6</v>
      </c>
      <c r="O99" s="9">
        <v>91.8</v>
      </c>
      <c r="P99" s="1">
        <v>1</v>
      </c>
      <c r="Q99" s="1" t="s">
        <v>48</v>
      </c>
      <c r="R99" s="1" t="s">
        <v>72</v>
      </c>
      <c r="S99" s="1" t="s">
        <v>50</v>
      </c>
      <c r="T99" s="1" t="s">
        <v>32</v>
      </c>
      <c r="U99" t="str">
        <f>VLOOKUP(A99,Emp_Info!$B$1:$G$101,3,0)</f>
        <v>geeta</v>
      </c>
      <c r="V99" t="str">
        <f>_xlfn.XLOOKUP(A99,Emp_Info!$B$2:$B$101,Emp_Info!$A$2:$A$101,,0)</f>
        <v>saxena</v>
      </c>
      <c r="W99" s="3" t="str">
        <f t="shared" si="19"/>
        <v>Geeta Saxena</v>
      </c>
      <c r="X99" t="str">
        <f t="shared" si="14"/>
        <v>GS048</v>
      </c>
      <c r="Y99" t="str">
        <f>HLOOKUP(F99,Dept_Info!$A$2:$I$3,2,0)</f>
        <v>Admin</v>
      </c>
      <c r="Z99">
        <f t="shared" si="20"/>
        <v>505000</v>
      </c>
      <c r="AA99" t="str">
        <f t="shared" si="16"/>
        <v>Low</v>
      </c>
      <c r="AB99" t="s">
        <v>264</v>
      </c>
      <c r="AC99" t="str">
        <f>INDEX(Emp_Info!$B$1:$G$101,MATCH(HR_Data!$A8,Emp_Info!$B$2:$B$101,0),MATCH(HR_Data!AC$1,Emp_Info!$B$1:$G$1,0))</f>
        <v>Bachelor</v>
      </c>
      <c r="AD99" t="str">
        <f>INDEX(Emp_Info!$A$1:$G$101,MATCH(HR_Data!$A99,Emp_Info!$B$1:$B$101,0),MATCH(HR_Data!AD$1,Emp_Info!$A$1:$G$1,0))</f>
        <v>Hyderabad</v>
      </c>
      <c r="AE99" t="str">
        <f>INDEX(Emp_Info!$A$1:$G$101,MATCH(HR_Data!$A99,Emp_Info!$B$1:$B$101,0),MATCH(HR_Data!AE$1,Emp_Info!$A$1:$G$1,0))</f>
        <v>South</v>
      </c>
      <c r="AF99" t="str">
        <f t="shared" si="17"/>
        <v>Not Eligible</v>
      </c>
    </row>
    <row r="100" spans="1:32" x14ac:dyDescent="0.35">
      <c r="A100" s="1" t="s">
        <v>233</v>
      </c>
      <c r="B100" s="5">
        <v>34971</v>
      </c>
      <c r="C100" s="1">
        <v>29</v>
      </c>
      <c r="D100" s="5">
        <v>44979</v>
      </c>
      <c r="E100" s="1" t="s">
        <v>42</v>
      </c>
      <c r="F100" s="1" t="s">
        <v>35</v>
      </c>
      <c r="G100" s="1" t="s">
        <v>234</v>
      </c>
      <c r="H100" s="1" t="s">
        <v>71</v>
      </c>
      <c r="I100" s="1" t="s">
        <v>39</v>
      </c>
      <c r="J100" s="6">
        <v>460000</v>
      </c>
      <c r="K100" s="7">
        <v>34000</v>
      </c>
      <c r="L100" s="7">
        <f t="shared" si="18"/>
        <v>494000</v>
      </c>
      <c r="M100" s="1">
        <v>4</v>
      </c>
      <c r="N100" s="8">
        <v>3.6</v>
      </c>
      <c r="O100" s="9">
        <v>91.5</v>
      </c>
      <c r="P100" s="1">
        <v>1</v>
      </c>
      <c r="Q100" s="1" t="s">
        <v>48</v>
      </c>
      <c r="R100" s="1" t="s">
        <v>72</v>
      </c>
      <c r="S100" s="1" t="s">
        <v>50</v>
      </c>
      <c r="T100" s="1" t="s">
        <v>32</v>
      </c>
      <c r="U100" t="str">
        <f>VLOOKUP(A100,Emp_Info!$B$1:$G$101,3,0)</f>
        <v>sonal</v>
      </c>
      <c r="V100" t="str">
        <f>_xlfn.XLOOKUP(A100,Emp_Info!$B$2:$B$101,Emp_Info!$A$2:$A$101,,0)</f>
        <v>kapoor</v>
      </c>
      <c r="W100" s="3" t="str">
        <f t="shared" si="19"/>
        <v>Sonal Kapoor</v>
      </c>
      <c r="X100" t="str">
        <f t="shared" si="14"/>
        <v>SK088</v>
      </c>
      <c r="Y100" t="str">
        <f>HLOOKUP(F100,Dept_Info!$A$2:$I$3,2,0)</f>
        <v>HR</v>
      </c>
      <c r="Z100">
        <f t="shared" si="20"/>
        <v>494000</v>
      </c>
      <c r="AA100" t="str">
        <f t="shared" si="16"/>
        <v>Low</v>
      </c>
      <c r="AB100" t="s">
        <v>264</v>
      </c>
      <c r="AC100" t="str">
        <f>INDEX(Emp_Info!$B$1:$G$101,MATCH(HR_Data!$A46,Emp_Info!$B$2:$B$101,0),MATCH(HR_Data!AC$1,Emp_Info!$B$1:$G$1,0))</f>
        <v>Bachelor</v>
      </c>
      <c r="AD100" t="str">
        <f>INDEX(Emp_Info!$A$1:$G$101,MATCH(HR_Data!$A100,Emp_Info!$B$1:$B$101,0),MATCH(HR_Data!AD$1,Emp_Info!$A$1:$G$1,0))</f>
        <v>Mumbai</v>
      </c>
      <c r="AE100" t="str">
        <f>INDEX(Emp_Info!$A$1:$G$101,MATCH(HR_Data!$A100,Emp_Info!$B$1:$B$101,0),MATCH(HR_Data!AE$1,Emp_Info!$A$1:$G$1,0))</f>
        <v>West</v>
      </c>
      <c r="AF100" t="str">
        <f t="shared" si="17"/>
        <v>Not Eligible</v>
      </c>
    </row>
    <row r="101" spans="1:32" x14ac:dyDescent="0.35">
      <c r="A101" s="1" t="s">
        <v>93</v>
      </c>
      <c r="B101" s="5">
        <v>34209</v>
      </c>
      <c r="C101" s="1">
        <v>31</v>
      </c>
      <c r="D101" s="5">
        <v>44249</v>
      </c>
      <c r="E101" s="1" t="s">
        <v>22</v>
      </c>
      <c r="F101" s="1" t="s">
        <v>52</v>
      </c>
      <c r="G101" s="1" t="s">
        <v>94</v>
      </c>
      <c r="H101" s="1" t="s">
        <v>71</v>
      </c>
      <c r="I101" s="1" t="s">
        <v>55</v>
      </c>
      <c r="J101" s="6">
        <v>450000</v>
      </c>
      <c r="K101" s="7">
        <v>32000</v>
      </c>
      <c r="L101" s="7">
        <f t="shared" si="18"/>
        <v>482000</v>
      </c>
      <c r="M101" s="1">
        <v>6</v>
      </c>
      <c r="N101" s="8">
        <v>3.6</v>
      </c>
      <c r="O101" s="9">
        <v>91.2</v>
      </c>
      <c r="P101" s="1">
        <v>1</v>
      </c>
      <c r="Q101" s="1" t="s">
        <v>48</v>
      </c>
      <c r="R101" s="1" t="s">
        <v>72</v>
      </c>
      <c r="S101" s="1" t="s">
        <v>50</v>
      </c>
      <c r="T101" s="1" t="s">
        <v>32</v>
      </c>
      <c r="U101" t="str">
        <f>VLOOKUP(A101,Emp_Info!$B$1:$G$101,3,0)</f>
        <v>meera</v>
      </c>
      <c r="V101" t="str">
        <f>_xlfn.XLOOKUP(A101,Emp_Info!$B$2:$B$101,Emp_Info!$A$2:$A$101,,0)</f>
        <v>bhat</v>
      </c>
      <c r="W101" s="3" t="str">
        <f t="shared" si="19"/>
        <v>Meera Bhat</v>
      </c>
      <c r="X101" t="str">
        <f t="shared" si="14"/>
        <v>MB018</v>
      </c>
      <c r="Y101" t="str">
        <f>HLOOKUP(F101,Dept_Info!$A$2:$I$3,2,0)</f>
        <v>Admin</v>
      </c>
      <c r="Z101">
        <f t="shared" si="20"/>
        <v>482000</v>
      </c>
      <c r="AA101" t="str">
        <f t="shared" si="16"/>
        <v>Low</v>
      </c>
      <c r="AB101" t="s">
        <v>264</v>
      </c>
      <c r="AC101" t="str">
        <f>INDEX(Emp_Info!$B$1:$G$101,MATCH(HR_Data!$A10,Emp_Info!$B$2:$B$101,0),MATCH(HR_Data!AC$1,Emp_Info!$B$1:$G$1,0))</f>
        <v>Master</v>
      </c>
      <c r="AD101" t="str">
        <f>INDEX(Emp_Info!$A$1:$G$101,MATCH(HR_Data!$A101,Emp_Info!$B$1:$B$101,0),MATCH(HR_Data!AD$1,Emp_Info!$A$1:$G$1,0))</f>
        <v>Pune</v>
      </c>
      <c r="AE101" t="str">
        <f>INDEX(Emp_Info!$A$1:$G$101,MATCH(HR_Data!$A101,Emp_Info!$B$1:$B$101,0),MATCH(HR_Data!AE$1,Emp_Info!$A$1:$G$1,0))</f>
        <v>West</v>
      </c>
      <c r="AF101" t="str">
        <f t="shared" si="17"/>
        <v>Not Eligible</v>
      </c>
    </row>
    <row r="105" spans="1:32" ht="16" x14ac:dyDescent="0.4">
      <c r="A105" s="11" t="s">
        <v>423</v>
      </c>
    </row>
    <row r="107" spans="1:32" x14ac:dyDescent="0.35">
      <c r="A107" s="4" t="s">
        <v>422</v>
      </c>
      <c r="B107" s="12">
        <f>SUM($L$2:$L$101)</f>
        <v>85971000</v>
      </c>
    </row>
    <row r="108" spans="1:32" x14ac:dyDescent="0.35">
      <c r="A108" s="4"/>
    </row>
    <row r="109" spans="1:32" x14ac:dyDescent="0.35">
      <c r="A109" s="4" t="s">
        <v>424</v>
      </c>
      <c r="B109">
        <f>COUNTA(A2:A101)</f>
        <v>100</v>
      </c>
    </row>
    <row r="111" spans="1:32" x14ac:dyDescent="0.35">
      <c r="A111" s="4" t="s">
        <v>425</v>
      </c>
      <c r="B111">
        <f>AVERAGE(C2:C18)</f>
        <v>36.3125</v>
      </c>
    </row>
    <row r="116" spans="1:20" ht="15.5" x14ac:dyDescent="0.35">
      <c r="A116" s="13" t="s">
        <v>426</v>
      </c>
    </row>
    <row r="118" spans="1:20" x14ac:dyDescent="0.35">
      <c r="A118" t="s">
        <v>56</v>
      </c>
      <c r="B118">
        <v>32129</v>
      </c>
      <c r="C118">
        <v>37</v>
      </c>
      <c r="D118">
        <v>42559</v>
      </c>
      <c r="E118" t="s">
        <v>57</v>
      </c>
      <c r="F118" t="s">
        <v>58</v>
      </c>
      <c r="G118" t="s">
        <v>59</v>
      </c>
      <c r="H118" t="s">
        <v>25</v>
      </c>
      <c r="I118" t="s">
        <v>61</v>
      </c>
      <c r="J118">
        <v>1100000</v>
      </c>
      <c r="K118">
        <v>120000</v>
      </c>
      <c r="L118">
        <f t="shared" ref="L118:L128" si="21">SUM(J118:K118)</f>
        <v>1220000</v>
      </c>
      <c r="M118">
        <v>15</v>
      </c>
      <c r="N118">
        <v>4.7</v>
      </c>
      <c r="O118">
        <v>99</v>
      </c>
      <c r="P118">
        <v>4</v>
      </c>
      <c r="Q118" t="s">
        <v>48</v>
      </c>
      <c r="R118" t="s">
        <v>31</v>
      </c>
      <c r="S118">
        <v>44397</v>
      </c>
      <c r="T118" t="s">
        <v>32</v>
      </c>
    </row>
    <row r="119" spans="1:20" x14ac:dyDescent="0.35">
      <c r="A119" t="s">
        <v>73</v>
      </c>
      <c r="B119">
        <v>31654</v>
      </c>
      <c r="C119">
        <v>38</v>
      </c>
      <c r="D119">
        <v>42040</v>
      </c>
      <c r="E119" t="s">
        <v>42</v>
      </c>
      <c r="F119" t="s">
        <v>43</v>
      </c>
      <c r="G119" t="s">
        <v>74</v>
      </c>
      <c r="H119" t="s">
        <v>25</v>
      </c>
      <c r="I119" t="s">
        <v>47</v>
      </c>
      <c r="J119">
        <v>1050000</v>
      </c>
      <c r="K119">
        <v>105000</v>
      </c>
      <c r="L119">
        <f t="shared" si="21"/>
        <v>1155000</v>
      </c>
      <c r="M119">
        <v>16</v>
      </c>
      <c r="N119">
        <v>4.5999999999999996</v>
      </c>
      <c r="O119">
        <v>98.5</v>
      </c>
      <c r="P119">
        <v>3</v>
      </c>
      <c r="Q119" t="s">
        <v>48</v>
      </c>
      <c r="R119" t="s">
        <v>31</v>
      </c>
      <c r="S119">
        <v>43871</v>
      </c>
      <c r="T119" t="s">
        <v>32</v>
      </c>
    </row>
    <row r="120" spans="1:20" x14ac:dyDescent="0.35">
      <c r="A120" t="s">
        <v>95</v>
      </c>
      <c r="B120">
        <v>31301</v>
      </c>
      <c r="C120">
        <v>39</v>
      </c>
      <c r="D120">
        <v>42070</v>
      </c>
      <c r="E120" t="s">
        <v>22</v>
      </c>
      <c r="F120" t="s">
        <v>23</v>
      </c>
      <c r="G120" t="s">
        <v>96</v>
      </c>
      <c r="H120" t="s">
        <v>25</v>
      </c>
      <c r="I120" t="s">
        <v>28</v>
      </c>
      <c r="J120">
        <v>1450000</v>
      </c>
      <c r="K120">
        <v>165000</v>
      </c>
      <c r="L120">
        <f t="shared" si="21"/>
        <v>1615000</v>
      </c>
      <c r="M120">
        <v>17</v>
      </c>
      <c r="N120">
        <v>4.8</v>
      </c>
      <c r="O120">
        <v>99.2</v>
      </c>
      <c r="P120">
        <v>5</v>
      </c>
      <c r="Q120" t="s">
        <v>48</v>
      </c>
      <c r="R120" t="s">
        <v>31</v>
      </c>
      <c r="S120">
        <v>43905</v>
      </c>
      <c r="T120" t="s">
        <v>32</v>
      </c>
    </row>
    <row r="121" spans="1:20" x14ac:dyDescent="0.35">
      <c r="A121" t="s">
        <v>129</v>
      </c>
      <c r="B121">
        <v>33490</v>
      </c>
      <c r="C121">
        <v>33</v>
      </c>
      <c r="D121">
        <v>43851</v>
      </c>
      <c r="E121" t="s">
        <v>42</v>
      </c>
      <c r="F121" t="s">
        <v>52</v>
      </c>
      <c r="G121" t="s">
        <v>130</v>
      </c>
      <c r="H121" t="s">
        <v>25</v>
      </c>
      <c r="I121" t="s">
        <v>55</v>
      </c>
      <c r="J121">
        <v>920000</v>
      </c>
      <c r="K121">
        <v>95000</v>
      </c>
      <c r="L121">
        <f t="shared" si="21"/>
        <v>1015000</v>
      </c>
      <c r="M121">
        <v>9</v>
      </c>
      <c r="N121">
        <v>4.5999999999999996</v>
      </c>
      <c r="O121">
        <v>98.7</v>
      </c>
      <c r="P121">
        <v>3</v>
      </c>
      <c r="Q121" t="s">
        <v>30</v>
      </c>
      <c r="R121" t="s">
        <v>31</v>
      </c>
      <c r="S121" t="s">
        <v>50</v>
      </c>
      <c r="T121" t="s">
        <v>32</v>
      </c>
    </row>
    <row r="122" spans="1:20" x14ac:dyDescent="0.35">
      <c r="A122" t="s">
        <v>139</v>
      </c>
      <c r="B122">
        <v>33015</v>
      </c>
      <c r="C122">
        <v>34</v>
      </c>
      <c r="D122">
        <v>43419</v>
      </c>
      <c r="E122" t="s">
        <v>69</v>
      </c>
      <c r="F122" t="s">
        <v>23</v>
      </c>
      <c r="G122" t="s">
        <v>140</v>
      </c>
      <c r="H122" t="s">
        <v>25</v>
      </c>
      <c r="I122" t="s">
        <v>28</v>
      </c>
      <c r="J122">
        <v>1050000</v>
      </c>
      <c r="K122">
        <v>110000</v>
      </c>
      <c r="L122">
        <f t="shared" si="21"/>
        <v>1160000</v>
      </c>
      <c r="M122">
        <v>11</v>
      </c>
      <c r="N122">
        <v>4.7</v>
      </c>
      <c r="O122">
        <v>98.9</v>
      </c>
      <c r="P122">
        <v>5</v>
      </c>
      <c r="Q122" t="s">
        <v>30</v>
      </c>
      <c r="R122" t="s">
        <v>31</v>
      </c>
      <c r="S122">
        <v>44885</v>
      </c>
      <c r="T122" t="s">
        <v>32</v>
      </c>
    </row>
    <row r="123" spans="1:20" x14ac:dyDescent="0.35">
      <c r="A123" t="s">
        <v>151</v>
      </c>
      <c r="B123">
        <v>31355</v>
      </c>
      <c r="C123">
        <v>39</v>
      </c>
      <c r="D123">
        <v>42115</v>
      </c>
      <c r="E123" t="s">
        <v>34</v>
      </c>
      <c r="F123" t="s">
        <v>58</v>
      </c>
      <c r="G123" t="s">
        <v>152</v>
      </c>
      <c r="H123" t="s">
        <v>25</v>
      </c>
      <c r="I123" t="s">
        <v>61</v>
      </c>
      <c r="J123">
        <v>1080000</v>
      </c>
      <c r="K123">
        <v>115000</v>
      </c>
      <c r="L123">
        <f t="shared" si="21"/>
        <v>1195000</v>
      </c>
      <c r="M123">
        <v>18</v>
      </c>
      <c r="N123">
        <v>4.5999999999999996</v>
      </c>
      <c r="O123">
        <v>98.6</v>
      </c>
      <c r="P123">
        <v>4</v>
      </c>
      <c r="Q123" t="s">
        <v>48</v>
      </c>
      <c r="R123" t="s">
        <v>31</v>
      </c>
      <c r="S123">
        <v>43931</v>
      </c>
      <c r="T123" t="s">
        <v>32</v>
      </c>
    </row>
    <row r="124" spans="1:20" x14ac:dyDescent="0.35">
      <c r="A124" t="s">
        <v>207</v>
      </c>
      <c r="B124">
        <v>31339</v>
      </c>
      <c r="C124">
        <v>39</v>
      </c>
      <c r="D124">
        <v>41983</v>
      </c>
      <c r="E124" t="s">
        <v>42</v>
      </c>
      <c r="F124" t="s">
        <v>43</v>
      </c>
      <c r="G124" t="s">
        <v>208</v>
      </c>
      <c r="H124" t="s">
        <v>25</v>
      </c>
      <c r="I124" t="s">
        <v>47</v>
      </c>
      <c r="J124">
        <v>1450000</v>
      </c>
      <c r="K124">
        <v>165000</v>
      </c>
      <c r="L124">
        <f t="shared" si="21"/>
        <v>1615000</v>
      </c>
      <c r="M124">
        <v>19</v>
      </c>
      <c r="N124">
        <v>4.8</v>
      </c>
      <c r="O124">
        <v>99.1</v>
      </c>
      <c r="P124">
        <v>4</v>
      </c>
      <c r="Q124" t="s">
        <v>48</v>
      </c>
      <c r="R124" t="s">
        <v>31</v>
      </c>
      <c r="S124">
        <v>43819</v>
      </c>
      <c r="T124" t="s">
        <v>32</v>
      </c>
    </row>
    <row r="125" spans="1:20" x14ac:dyDescent="0.35">
      <c r="A125" t="s">
        <v>211</v>
      </c>
      <c r="B125">
        <v>32276</v>
      </c>
      <c r="C125">
        <v>36</v>
      </c>
      <c r="D125">
        <v>43053</v>
      </c>
      <c r="E125" t="s">
        <v>34</v>
      </c>
      <c r="F125" t="s">
        <v>23</v>
      </c>
      <c r="G125" t="s">
        <v>212</v>
      </c>
      <c r="H125" t="s">
        <v>25</v>
      </c>
      <c r="I125" t="s">
        <v>28</v>
      </c>
      <c r="J125">
        <v>980000</v>
      </c>
      <c r="K125">
        <v>98000</v>
      </c>
      <c r="L125">
        <f t="shared" si="21"/>
        <v>1078000</v>
      </c>
      <c r="M125">
        <v>13</v>
      </c>
      <c r="N125">
        <v>4.5999999999999996</v>
      </c>
      <c r="O125">
        <v>98.4</v>
      </c>
      <c r="P125">
        <v>4</v>
      </c>
      <c r="Q125" t="s">
        <v>30</v>
      </c>
      <c r="R125" t="s">
        <v>31</v>
      </c>
      <c r="S125">
        <v>44885</v>
      </c>
      <c r="T125" t="s">
        <v>32</v>
      </c>
    </row>
    <row r="126" spans="1:20" x14ac:dyDescent="0.35">
      <c r="A126" t="s">
        <v>215</v>
      </c>
      <c r="B126">
        <v>32516</v>
      </c>
      <c r="C126">
        <v>35</v>
      </c>
      <c r="D126">
        <v>43329</v>
      </c>
      <c r="E126" t="s">
        <v>22</v>
      </c>
      <c r="F126" t="s">
        <v>65</v>
      </c>
      <c r="G126" t="s">
        <v>216</v>
      </c>
      <c r="H126" t="s">
        <v>25</v>
      </c>
      <c r="I126" t="s">
        <v>67</v>
      </c>
      <c r="J126">
        <v>1020000</v>
      </c>
      <c r="K126">
        <v>125000</v>
      </c>
      <c r="L126">
        <f t="shared" si="21"/>
        <v>1145000</v>
      </c>
      <c r="M126">
        <v>12</v>
      </c>
      <c r="N126">
        <v>4.7</v>
      </c>
      <c r="O126">
        <v>98.6</v>
      </c>
      <c r="P126">
        <v>3</v>
      </c>
      <c r="Q126" t="s">
        <v>30</v>
      </c>
      <c r="R126" t="s">
        <v>31</v>
      </c>
      <c r="S126">
        <v>45163</v>
      </c>
      <c r="T126" t="s">
        <v>32</v>
      </c>
    </row>
    <row r="127" spans="1:20" x14ac:dyDescent="0.35">
      <c r="A127" t="s">
        <v>241</v>
      </c>
      <c r="B127">
        <v>34168</v>
      </c>
      <c r="C127">
        <v>31</v>
      </c>
      <c r="D127">
        <v>44462</v>
      </c>
      <c r="E127" t="s">
        <v>22</v>
      </c>
      <c r="F127" t="s">
        <v>23</v>
      </c>
      <c r="G127" t="s">
        <v>242</v>
      </c>
      <c r="H127" t="s">
        <v>25</v>
      </c>
      <c r="I127" t="s">
        <v>28</v>
      </c>
      <c r="J127">
        <v>950000</v>
      </c>
      <c r="K127">
        <v>95000</v>
      </c>
      <c r="L127">
        <f t="shared" si="21"/>
        <v>1045000</v>
      </c>
      <c r="M127">
        <v>6</v>
      </c>
      <c r="N127">
        <v>4.5999999999999996</v>
      </c>
      <c r="O127">
        <v>98.3</v>
      </c>
      <c r="P127">
        <v>4</v>
      </c>
      <c r="Q127" t="s">
        <v>30</v>
      </c>
      <c r="R127" t="s">
        <v>31</v>
      </c>
      <c r="S127" t="s">
        <v>50</v>
      </c>
      <c r="T127" t="s">
        <v>32</v>
      </c>
    </row>
    <row r="128" spans="1:20" x14ac:dyDescent="0.35">
      <c r="A128" t="s">
        <v>251</v>
      </c>
      <c r="B128">
        <v>31462</v>
      </c>
      <c r="D128">
        <v>42137</v>
      </c>
      <c r="E128" t="s">
        <v>42</v>
      </c>
      <c r="F128" t="s">
        <v>65</v>
      </c>
      <c r="G128" t="s">
        <v>252</v>
      </c>
      <c r="H128" t="s">
        <v>25</v>
      </c>
      <c r="I128" t="s">
        <v>67</v>
      </c>
      <c r="J128">
        <v>1380000</v>
      </c>
      <c r="K128">
        <v>158000</v>
      </c>
      <c r="L128">
        <f t="shared" si="21"/>
        <v>1538000</v>
      </c>
      <c r="M128">
        <v>18</v>
      </c>
      <c r="N128">
        <v>4.8</v>
      </c>
      <c r="O128">
        <v>99</v>
      </c>
      <c r="P128">
        <v>4</v>
      </c>
      <c r="Q128" t="s">
        <v>48</v>
      </c>
      <c r="R128" t="s">
        <v>31</v>
      </c>
      <c r="S128">
        <v>43971</v>
      </c>
      <c r="T128" t="s">
        <v>32</v>
      </c>
    </row>
    <row r="131" spans="1:3" ht="15.5" x14ac:dyDescent="0.35">
      <c r="A131" s="13" t="s">
        <v>427</v>
      </c>
    </row>
    <row r="136" spans="1:3" ht="15.5" x14ac:dyDescent="0.35">
      <c r="A136" s="20" t="s">
        <v>436</v>
      </c>
    </row>
    <row r="139" spans="1:3" ht="15.5" x14ac:dyDescent="0.35">
      <c r="A139" s="21" t="s">
        <v>438</v>
      </c>
      <c r="B139" s="19"/>
    </row>
    <row r="142" spans="1:3" x14ac:dyDescent="0.35">
      <c r="B142" s="1" t="str" cm="1">
        <f t="array" ref="B142:B146">_xlfn.UNIQUE($E$2:$E$101)</f>
        <v>Referral</v>
      </c>
      <c r="C142" s="1">
        <f>COUNTIF($E$2:$E$101,B142)</f>
        <v>25</v>
      </c>
    </row>
    <row r="143" spans="1:3" x14ac:dyDescent="0.35">
      <c r="B143" s="1" t="str">
        <v>Job Portal</v>
      </c>
      <c r="C143" s="1">
        <f t="shared" ref="C143:C146" si="22">COUNTIF($E$2:$E$101,B143)</f>
        <v>35</v>
      </c>
    </row>
    <row r="144" spans="1:3" x14ac:dyDescent="0.35">
      <c r="B144" s="1" t="str">
        <v>Campus</v>
      </c>
      <c r="C144" s="1">
        <f t="shared" si="22"/>
        <v>7</v>
      </c>
    </row>
    <row r="145" spans="2:7" x14ac:dyDescent="0.35">
      <c r="B145" s="1" t="str">
        <v>LinkedIn</v>
      </c>
      <c r="C145" s="1">
        <f t="shared" si="22"/>
        <v>20</v>
      </c>
    </row>
    <row r="146" spans="2:7" x14ac:dyDescent="0.35">
      <c r="B146" s="1" t="str">
        <v>Freelance</v>
      </c>
      <c r="C146" s="1">
        <f t="shared" si="22"/>
        <v>13</v>
      </c>
    </row>
    <row r="150" spans="2:7" x14ac:dyDescent="0.35">
      <c r="B150" s="23" t="s">
        <v>439</v>
      </c>
    </row>
    <row r="153" spans="2:7" x14ac:dyDescent="0.35">
      <c r="B153" s="1"/>
      <c r="C153" s="1" t="s">
        <v>42</v>
      </c>
      <c r="D153" s="1" t="s">
        <v>22</v>
      </c>
      <c r="E153" s="1" t="s">
        <v>57</v>
      </c>
      <c r="F153" s="1" t="s">
        <v>34</v>
      </c>
      <c r="G153" s="1" t="s">
        <v>69</v>
      </c>
    </row>
    <row r="154" spans="2:7" x14ac:dyDescent="0.35">
      <c r="B154" s="1" t="str" cm="1">
        <f t="array" ref="B154:B159">_xlfn.UNIQUE(Y2:Y101)</f>
        <v>Finance</v>
      </c>
      <c r="C154" s="1">
        <f t="shared" ref="C154:G159" si="23">SUMIFS($L$2:$L$101,$E$2:$E$101,C$153,$Y$2:$Y$101,$B154)</f>
        <v>7077000</v>
      </c>
      <c r="D154" s="1">
        <f t="shared" si="23"/>
        <v>2423000</v>
      </c>
      <c r="E154" s="1">
        <f t="shared" si="23"/>
        <v>0</v>
      </c>
      <c r="F154" s="1">
        <f t="shared" si="23"/>
        <v>3444000</v>
      </c>
      <c r="G154" s="1">
        <f t="shared" si="23"/>
        <v>2898000</v>
      </c>
    </row>
    <row r="155" spans="2:7" x14ac:dyDescent="0.35">
      <c r="B155" s="1" t="str">
        <v>IT</v>
      </c>
      <c r="C155" s="1">
        <f t="shared" si="23"/>
        <v>2941000</v>
      </c>
      <c r="D155" s="1">
        <f t="shared" si="23"/>
        <v>8963000</v>
      </c>
      <c r="E155" s="1">
        <f t="shared" si="23"/>
        <v>1447000</v>
      </c>
      <c r="F155" s="1">
        <f t="shared" si="23"/>
        <v>3231000</v>
      </c>
      <c r="G155" s="1">
        <f t="shared" si="23"/>
        <v>3926000</v>
      </c>
    </row>
    <row r="156" spans="2:7" x14ac:dyDescent="0.35">
      <c r="B156" s="1" t="str">
        <v>Sales</v>
      </c>
      <c r="C156" s="1">
        <f t="shared" si="23"/>
        <v>4110000</v>
      </c>
      <c r="D156" s="1">
        <f t="shared" si="23"/>
        <v>6846000</v>
      </c>
      <c r="E156" s="1">
        <f t="shared" si="23"/>
        <v>528000</v>
      </c>
      <c r="F156" s="1">
        <f t="shared" si="23"/>
        <v>2568000</v>
      </c>
      <c r="G156" s="1">
        <f t="shared" si="23"/>
        <v>995000</v>
      </c>
    </row>
    <row r="157" spans="2:7" x14ac:dyDescent="0.35">
      <c r="B157" s="1" t="str">
        <v>Marketing</v>
      </c>
      <c r="C157" s="1">
        <f t="shared" si="23"/>
        <v>2495000</v>
      </c>
      <c r="D157" s="1">
        <f t="shared" si="23"/>
        <v>5234000</v>
      </c>
      <c r="E157" s="1">
        <f t="shared" si="23"/>
        <v>2118000</v>
      </c>
      <c r="F157" s="1">
        <f t="shared" si="23"/>
        <v>3893000</v>
      </c>
      <c r="G157" s="1">
        <f t="shared" si="23"/>
        <v>865000</v>
      </c>
    </row>
    <row r="158" spans="2:7" x14ac:dyDescent="0.35">
      <c r="B158" s="1" t="str">
        <v>HR</v>
      </c>
      <c r="C158" s="1">
        <f t="shared" si="23"/>
        <v>1944000</v>
      </c>
      <c r="D158" s="1">
        <f t="shared" si="23"/>
        <v>2936000</v>
      </c>
      <c r="E158" s="1">
        <f t="shared" si="23"/>
        <v>898000</v>
      </c>
      <c r="F158" s="1">
        <f t="shared" si="23"/>
        <v>1045000</v>
      </c>
      <c r="G158" s="1">
        <f t="shared" si="23"/>
        <v>1820000</v>
      </c>
    </row>
    <row r="159" spans="2:7" x14ac:dyDescent="0.35">
      <c r="B159" s="1" t="str">
        <v>Admin</v>
      </c>
      <c r="C159" s="1">
        <f t="shared" si="23"/>
        <v>3119000</v>
      </c>
      <c r="D159" s="1">
        <f t="shared" si="23"/>
        <v>3882000</v>
      </c>
      <c r="E159" s="1">
        <f t="shared" si="23"/>
        <v>832000</v>
      </c>
      <c r="F159" s="1">
        <f t="shared" si="23"/>
        <v>2897000</v>
      </c>
      <c r="G159" s="1">
        <f t="shared" si="23"/>
        <v>596000</v>
      </c>
    </row>
  </sheetData>
  <sortState xmlns:xlrd2="http://schemas.microsoft.com/office/spreadsheetml/2017/richdata2" ref="A2:AF101">
    <sortCondition descending="1" ref="L2:L101"/>
    <sortCondition descending="1" ref="M2:M101"/>
  </sortState>
  <dataValidations count="1">
    <dataValidation type="list" allowBlank="1" showInputMessage="1" showErrorMessage="1" sqref="AG2" xr:uid="{A705E61B-A4DF-4C76-843B-E047584ED423}">
      <formula1>$Y2:$Y101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07AC-AFDC-4BDB-AFC3-49ABA0CBB082}">
  <dimension ref="A1:I3"/>
  <sheetViews>
    <sheetView workbookViewId="0">
      <selection activeCell="F6" sqref="F6"/>
    </sheetView>
  </sheetViews>
  <sheetFormatPr defaultRowHeight="14.5" x14ac:dyDescent="0.35"/>
  <cols>
    <col min="1" max="1" width="10.36328125" bestFit="1" customWidth="1"/>
    <col min="2" max="2" width="11.7265625" bestFit="1" customWidth="1"/>
    <col min="3" max="3" width="9.36328125" bestFit="1" customWidth="1"/>
    <col min="4" max="4" width="11.6328125" bestFit="1" customWidth="1"/>
    <col min="5" max="5" width="13.1796875" bestFit="1" customWidth="1"/>
    <col min="6" max="6" width="13.08984375" bestFit="1" customWidth="1"/>
    <col min="7" max="7" width="11.26953125" bestFit="1" customWidth="1"/>
    <col min="8" max="8" width="11" bestFit="1" customWidth="1"/>
    <col min="9" max="9" width="10.36328125" bestFit="1" customWidth="1"/>
  </cols>
  <sheetData>
    <row r="1" spans="1:9" x14ac:dyDescent="0.35">
      <c r="A1" s="2" t="s">
        <v>266</v>
      </c>
      <c r="B1" s="1" t="s">
        <v>276</v>
      </c>
      <c r="C1" s="1" t="s">
        <v>277</v>
      </c>
      <c r="D1" s="1" t="s">
        <v>278</v>
      </c>
      <c r="E1" s="1" t="s">
        <v>279</v>
      </c>
      <c r="F1" s="1" t="s">
        <v>280</v>
      </c>
      <c r="G1" s="1" t="s">
        <v>281</v>
      </c>
      <c r="H1" s="1" t="s">
        <v>283</v>
      </c>
      <c r="I1" s="1" t="s">
        <v>284</v>
      </c>
    </row>
    <row r="2" spans="1:9" x14ac:dyDescent="0.35">
      <c r="A2" s="2" t="s">
        <v>4</v>
      </c>
      <c r="B2" s="1" t="s">
        <v>23</v>
      </c>
      <c r="C2" s="1" t="s">
        <v>35</v>
      </c>
      <c r="D2" s="1" t="s">
        <v>65</v>
      </c>
      <c r="E2" s="1" t="s">
        <v>52</v>
      </c>
      <c r="F2" s="1" t="s">
        <v>58</v>
      </c>
      <c r="G2" s="1" t="s">
        <v>43</v>
      </c>
      <c r="H2" s="1" t="s">
        <v>267</v>
      </c>
      <c r="I2" s="1" t="s">
        <v>268</v>
      </c>
    </row>
    <row r="3" spans="1:9" x14ac:dyDescent="0.35">
      <c r="A3" s="2" t="s">
        <v>265</v>
      </c>
      <c r="B3" s="1" t="s">
        <v>269</v>
      </c>
      <c r="C3" s="1" t="s">
        <v>270</v>
      </c>
      <c r="D3" s="1" t="s">
        <v>271</v>
      </c>
      <c r="E3" s="1" t="s">
        <v>272</v>
      </c>
      <c r="F3" s="1" t="s">
        <v>273</v>
      </c>
      <c r="G3" s="1" t="s">
        <v>274</v>
      </c>
      <c r="H3" s="1" t="s">
        <v>282</v>
      </c>
      <c r="I3" s="1" t="s">
        <v>275</v>
      </c>
    </row>
  </sheetData>
  <sortState xmlns:xlrd2="http://schemas.microsoft.com/office/spreadsheetml/2017/richdata2" columnSort="1" ref="B1:I3">
    <sortCondition ref="B2:I2"/>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99CB-783A-440C-B197-E515BCF16227}">
  <dimension ref="A1:G101"/>
  <sheetViews>
    <sheetView topLeftCell="A62" workbookViewId="0">
      <selection activeCell="C1" sqref="C1"/>
    </sheetView>
  </sheetViews>
  <sheetFormatPr defaultRowHeight="14.5" x14ac:dyDescent="0.35"/>
  <cols>
    <col min="1" max="1" width="10" customWidth="1"/>
    <col min="4" max="4" width="10.26953125" customWidth="1"/>
    <col min="5" max="5" width="13.6328125" customWidth="1"/>
  </cols>
  <sheetData>
    <row r="1" spans="1:7" x14ac:dyDescent="0.35">
      <c r="A1" s="2" t="s">
        <v>262</v>
      </c>
      <c r="B1" s="2" t="s">
        <v>259</v>
      </c>
      <c r="C1" s="2" t="s">
        <v>260</v>
      </c>
      <c r="D1" s="2" t="s">
        <v>261</v>
      </c>
      <c r="E1" s="2" t="s">
        <v>15</v>
      </c>
      <c r="F1" s="2" t="s">
        <v>7</v>
      </c>
      <c r="G1" s="2" t="s">
        <v>8</v>
      </c>
    </row>
    <row r="2" spans="1:7" x14ac:dyDescent="0.35">
      <c r="A2" s="1" t="s">
        <v>285</v>
      </c>
      <c r="B2" s="1" t="s">
        <v>78</v>
      </c>
      <c r="C2" s="1" t="s">
        <v>263</v>
      </c>
      <c r="D2" s="1" t="s">
        <v>324</v>
      </c>
      <c r="E2" s="1" t="s">
        <v>29</v>
      </c>
      <c r="F2" s="1" t="s">
        <v>80</v>
      </c>
      <c r="G2" s="1" t="s">
        <v>38</v>
      </c>
    </row>
    <row r="3" spans="1:7" x14ac:dyDescent="0.35">
      <c r="A3" s="1" t="s">
        <v>286</v>
      </c>
      <c r="B3" s="1" t="s">
        <v>81</v>
      </c>
      <c r="C3" s="1" t="s">
        <v>264</v>
      </c>
      <c r="D3" s="1" t="s">
        <v>325</v>
      </c>
      <c r="E3" s="1" t="s">
        <v>29</v>
      </c>
      <c r="F3" s="1" t="s">
        <v>60</v>
      </c>
      <c r="G3" s="1" t="s">
        <v>27</v>
      </c>
    </row>
    <row r="4" spans="1:7" x14ac:dyDescent="0.35">
      <c r="A4" s="1" t="s">
        <v>287</v>
      </c>
      <c r="B4" s="1" t="s">
        <v>83</v>
      </c>
      <c r="C4" s="1" t="s">
        <v>263</v>
      </c>
      <c r="D4" s="1" t="s">
        <v>326</v>
      </c>
      <c r="E4" s="1" t="s">
        <v>40</v>
      </c>
      <c r="F4" s="1" t="s">
        <v>54</v>
      </c>
      <c r="G4" s="1" t="s">
        <v>46</v>
      </c>
    </row>
    <row r="5" spans="1:7" x14ac:dyDescent="0.35">
      <c r="A5" s="1" t="s">
        <v>288</v>
      </c>
      <c r="B5" s="1" t="s">
        <v>85</v>
      </c>
      <c r="C5" s="1" t="s">
        <v>264</v>
      </c>
      <c r="D5" s="1" t="s">
        <v>327</v>
      </c>
      <c r="E5" s="1" t="s">
        <v>29</v>
      </c>
      <c r="F5" s="1" t="s">
        <v>45</v>
      </c>
      <c r="G5" s="1" t="s">
        <v>46</v>
      </c>
    </row>
    <row r="6" spans="1:7" x14ac:dyDescent="0.35">
      <c r="A6" s="1" t="s">
        <v>289</v>
      </c>
      <c r="B6" s="1" t="s">
        <v>87</v>
      </c>
      <c r="C6" s="1" t="s">
        <v>263</v>
      </c>
      <c r="D6" s="1" t="s">
        <v>328</v>
      </c>
      <c r="E6" s="1" t="s">
        <v>40</v>
      </c>
      <c r="F6" s="1" t="s">
        <v>37</v>
      </c>
      <c r="G6" s="1" t="s">
        <v>38</v>
      </c>
    </row>
    <row r="7" spans="1:7" x14ac:dyDescent="0.35">
      <c r="A7" s="1" t="s">
        <v>290</v>
      </c>
      <c r="B7" s="1" t="s">
        <v>89</v>
      </c>
      <c r="C7" s="1" t="s">
        <v>323</v>
      </c>
      <c r="D7" s="1" t="s">
        <v>329</v>
      </c>
      <c r="E7" s="1" t="s">
        <v>29</v>
      </c>
      <c r="F7" s="1" t="s">
        <v>26</v>
      </c>
      <c r="G7" s="1" t="s">
        <v>27</v>
      </c>
    </row>
    <row r="8" spans="1:7" x14ac:dyDescent="0.35">
      <c r="A8" s="1" t="s">
        <v>291</v>
      </c>
      <c r="B8" s="1" t="s">
        <v>91</v>
      </c>
      <c r="C8" s="1" t="s">
        <v>263</v>
      </c>
      <c r="D8" s="1" t="s">
        <v>330</v>
      </c>
      <c r="E8" s="1" t="s">
        <v>29</v>
      </c>
      <c r="F8" s="1" t="s">
        <v>75</v>
      </c>
      <c r="G8" s="1" t="s">
        <v>46</v>
      </c>
    </row>
    <row r="9" spans="1:7" x14ac:dyDescent="0.35">
      <c r="A9" s="1" t="s">
        <v>292</v>
      </c>
      <c r="B9" s="1" t="s">
        <v>93</v>
      </c>
      <c r="C9" s="1" t="s">
        <v>264</v>
      </c>
      <c r="D9" s="1" t="s">
        <v>331</v>
      </c>
      <c r="E9" s="1" t="s">
        <v>29</v>
      </c>
      <c r="F9" s="1" t="s">
        <v>60</v>
      </c>
      <c r="G9" s="1" t="s">
        <v>27</v>
      </c>
    </row>
    <row r="10" spans="1:7" x14ac:dyDescent="0.35">
      <c r="A10" s="1" t="s">
        <v>293</v>
      </c>
      <c r="B10" s="1" t="s">
        <v>95</v>
      </c>
      <c r="C10" s="1" t="s">
        <v>263</v>
      </c>
      <c r="D10" s="1" t="s">
        <v>332</v>
      </c>
      <c r="E10" s="1" t="s">
        <v>40</v>
      </c>
      <c r="F10" s="1" t="s">
        <v>80</v>
      </c>
      <c r="G10" s="1" t="s">
        <v>38</v>
      </c>
    </row>
    <row r="11" spans="1:7" x14ac:dyDescent="0.35">
      <c r="A11" s="1" t="s">
        <v>294</v>
      </c>
      <c r="B11" s="1" t="s">
        <v>97</v>
      </c>
      <c r="C11" s="1" t="s">
        <v>323</v>
      </c>
      <c r="D11" s="1" t="s">
        <v>333</v>
      </c>
      <c r="E11" s="1" t="s">
        <v>29</v>
      </c>
      <c r="F11" s="1" t="s">
        <v>45</v>
      </c>
      <c r="G11" s="1" t="s">
        <v>46</v>
      </c>
    </row>
    <row r="12" spans="1:7" x14ac:dyDescent="0.35">
      <c r="A12" s="1" t="s">
        <v>295</v>
      </c>
      <c r="B12" s="1" t="s">
        <v>21</v>
      </c>
      <c r="C12" s="1" t="s">
        <v>263</v>
      </c>
      <c r="D12" s="1" t="s">
        <v>334</v>
      </c>
      <c r="E12" s="1" t="s">
        <v>29</v>
      </c>
      <c r="F12" s="1" t="s">
        <v>26</v>
      </c>
      <c r="G12" s="1" t="s">
        <v>27</v>
      </c>
    </row>
    <row r="13" spans="1:7" x14ac:dyDescent="0.35">
      <c r="A13" s="1" t="s">
        <v>296</v>
      </c>
      <c r="B13" s="1" t="s">
        <v>33</v>
      </c>
      <c r="C13" s="1" t="s">
        <v>264</v>
      </c>
      <c r="D13" s="1" t="s">
        <v>335</v>
      </c>
      <c r="E13" s="1" t="s">
        <v>40</v>
      </c>
      <c r="F13" s="1" t="s">
        <v>37</v>
      </c>
      <c r="G13" s="1" t="s">
        <v>38</v>
      </c>
    </row>
    <row r="14" spans="1:7" x14ac:dyDescent="0.35">
      <c r="A14" s="1" t="s">
        <v>297</v>
      </c>
      <c r="B14" s="1" t="s">
        <v>41</v>
      </c>
      <c r="C14" s="1" t="s">
        <v>263</v>
      </c>
      <c r="D14" s="1" t="s">
        <v>336</v>
      </c>
      <c r="E14" s="1" t="s">
        <v>29</v>
      </c>
      <c r="F14" s="1" t="s">
        <v>45</v>
      </c>
      <c r="G14" s="1" t="s">
        <v>46</v>
      </c>
    </row>
    <row r="15" spans="1:7" x14ac:dyDescent="0.35">
      <c r="A15" s="1" t="s">
        <v>298</v>
      </c>
      <c r="B15" s="1" t="s">
        <v>51</v>
      </c>
      <c r="C15" s="1" t="s">
        <v>264</v>
      </c>
      <c r="D15" s="1" t="s">
        <v>337</v>
      </c>
      <c r="E15" s="1" t="s">
        <v>29</v>
      </c>
      <c r="F15" s="1" t="s">
        <v>54</v>
      </c>
      <c r="G15" s="1" t="s">
        <v>46</v>
      </c>
    </row>
    <row r="16" spans="1:7" x14ac:dyDescent="0.35">
      <c r="A16" s="1" t="s">
        <v>299</v>
      </c>
      <c r="B16" s="1" t="s">
        <v>56</v>
      </c>
      <c r="C16" s="1" t="s">
        <v>263</v>
      </c>
      <c r="D16" s="1" t="s">
        <v>338</v>
      </c>
      <c r="E16" s="1" t="s">
        <v>40</v>
      </c>
      <c r="F16" s="1" t="s">
        <v>60</v>
      </c>
      <c r="G16" s="1" t="s">
        <v>27</v>
      </c>
    </row>
    <row r="17" spans="1:7" x14ac:dyDescent="0.35">
      <c r="A17" s="1" t="s">
        <v>300</v>
      </c>
      <c r="B17" s="1" t="s">
        <v>62</v>
      </c>
      <c r="C17" s="1" t="s">
        <v>264</v>
      </c>
      <c r="D17" s="1" t="s">
        <v>339</v>
      </c>
      <c r="E17" s="1" t="s">
        <v>40</v>
      </c>
      <c r="F17" s="1" t="s">
        <v>26</v>
      </c>
      <c r="G17" s="1" t="s">
        <v>27</v>
      </c>
    </row>
    <row r="18" spans="1:7" x14ac:dyDescent="0.35">
      <c r="A18" s="1" t="s">
        <v>301</v>
      </c>
      <c r="B18" s="1" t="s">
        <v>64</v>
      </c>
      <c r="C18" s="1" t="s">
        <v>263</v>
      </c>
      <c r="D18" s="1" t="s">
        <v>340</v>
      </c>
      <c r="E18" s="1" t="s">
        <v>29</v>
      </c>
      <c r="F18" s="1" t="s">
        <v>37</v>
      </c>
      <c r="G18" s="1" t="s">
        <v>38</v>
      </c>
    </row>
    <row r="19" spans="1:7" x14ac:dyDescent="0.35">
      <c r="A19" s="1" t="s">
        <v>302</v>
      </c>
      <c r="B19" s="1" t="s">
        <v>68</v>
      </c>
      <c r="C19" s="1" t="s">
        <v>264</v>
      </c>
      <c r="D19" s="1" t="s">
        <v>341</v>
      </c>
      <c r="E19" s="1" t="s">
        <v>29</v>
      </c>
      <c r="F19" s="1" t="s">
        <v>45</v>
      </c>
      <c r="G19" s="1" t="s">
        <v>46</v>
      </c>
    </row>
    <row r="20" spans="1:7" x14ac:dyDescent="0.35">
      <c r="A20" s="1" t="s">
        <v>303</v>
      </c>
      <c r="B20" s="1" t="s">
        <v>73</v>
      </c>
      <c r="C20" s="1" t="s">
        <v>263</v>
      </c>
      <c r="D20" s="1" t="s">
        <v>342</v>
      </c>
      <c r="E20" s="1" t="s">
        <v>40</v>
      </c>
      <c r="F20" s="1" t="s">
        <v>75</v>
      </c>
      <c r="G20" s="1" t="s">
        <v>46</v>
      </c>
    </row>
    <row r="21" spans="1:7" x14ac:dyDescent="0.35">
      <c r="A21" s="1" t="s">
        <v>304</v>
      </c>
      <c r="B21" s="1" t="s">
        <v>76</v>
      </c>
      <c r="C21" s="1" t="s">
        <v>264</v>
      </c>
      <c r="D21" s="1" t="s">
        <v>343</v>
      </c>
      <c r="E21" s="1" t="s">
        <v>29</v>
      </c>
      <c r="F21" s="1" t="s">
        <v>26</v>
      </c>
      <c r="G21" s="1" t="s">
        <v>27</v>
      </c>
    </row>
    <row r="22" spans="1:7" x14ac:dyDescent="0.35">
      <c r="A22" s="1" t="s">
        <v>305</v>
      </c>
      <c r="B22" s="1" t="s">
        <v>99</v>
      </c>
      <c r="C22" s="1" t="s">
        <v>263</v>
      </c>
      <c r="D22" s="1" t="s">
        <v>344</v>
      </c>
      <c r="E22" s="1" t="s">
        <v>29</v>
      </c>
      <c r="F22" s="1" t="s">
        <v>26</v>
      </c>
      <c r="G22" s="1" t="s">
        <v>27</v>
      </c>
    </row>
    <row r="23" spans="1:7" x14ac:dyDescent="0.35">
      <c r="A23" s="1" t="s">
        <v>306</v>
      </c>
      <c r="B23" s="1" t="s">
        <v>101</v>
      </c>
      <c r="C23" s="1" t="s">
        <v>264</v>
      </c>
      <c r="D23" s="1" t="s">
        <v>345</v>
      </c>
      <c r="E23" s="1" t="s">
        <v>29</v>
      </c>
      <c r="F23" s="1" t="s">
        <v>60</v>
      </c>
      <c r="G23" s="1" t="s">
        <v>27</v>
      </c>
    </row>
    <row r="24" spans="1:7" x14ac:dyDescent="0.35">
      <c r="A24" s="1" t="s">
        <v>307</v>
      </c>
      <c r="B24" s="1" t="s">
        <v>103</v>
      </c>
      <c r="C24" s="1" t="s">
        <v>263</v>
      </c>
      <c r="D24" s="1" t="s">
        <v>346</v>
      </c>
      <c r="E24" s="1" t="s">
        <v>29</v>
      </c>
      <c r="F24" s="1" t="s">
        <v>37</v>
      </c>
      <c r="G24" s="1" t="s">
        <v>38</v>
      </c>
    </row>
    <row r="25" spans="1:7" x14ac:dyDescent="0.35">
      <c r="A25" s="1" t="s">
        <v>308</v>
      </c>
      <c r="B25" s="1" t="s">
        <v>105</v>
      </c>
      <c r="C25" s="1" t="s">
        <v>264</v>
      </c>
      <c r="D25" s="1" t="s">
        <v>347</v>
      </c>
      <c r="E25" s="1" t="s">
        <v>40</v>
      </c>
      <c r="F25" s="1" t="s">
        <v>45</v>
      </c>
      <c r="G25" s="1" t="s">
        <v>46</v>
      </c>
    </row>
    <row r="26" spans="1:7" x14ac:dyDescent="0.35">
      <c r="A26" s="1" t="s">
        <v>309</v>
      </c>
      <c r="B26" s="1" t="s">
        <v>107</v>
      </c>
      <c r="C26" s="1" t="s">
        <v>263</v>
      </c>
      <c r="D26" s="1" t="s">
        <v>348</v>
      </c>
      <c r="E26" s="1" t="s">
        <v>29</v>
      </c>
      <c r="F26" s="1" t="s">
        <v>54</v>
      </c>
      <c r="G26" s="1" t="s">
        <v>46</v>
      </c>
    </row>
    <row r="27" spans="1:7" x14ac:dyDescent="0.35">
      <c r="A27" s="1" t="s">
        <v>310</v>
      </c>
      <c r="B27" s="1" t="s">
        <v>109</v>
      </c>
      <c r="C27" s="1" t="s">
        <v>264</v>
      </c>
      <c r="D27" s="1" t="s">
        <v>349</v>
      </c>
      <c r="E27" s="1" t="s">
        <v>40</v>
      </c>
      <c r="F27" s="1" t="s">
        <v>80</v>
      </c>
      <c r="G27" s="1" t="s">
        <v>38</v>
      </c>
    </row>
    <row r="28" spans="1:7" x14ac:dyDescent="0.35">
      <c r="A28" s="1" t="s">
        <v>311</v>
      </c>
      <c r="B28" s="1" t="s">
        <v>111</v>
      </c>
      <c r="C28" s="1" t="s">
        <v>263</v>
      </c>
      <c r="D28" s="1" t="s">
        <v>350</v>
      </c>
      <c r="E28" s="1" t="s">
        <v>29</v>
      </c>
      <c r="F28" s="1" t="s">
        <v>26</v>
      </c>
      <c r="G28" s="1" t="s">
        <v>27</v>
      </c>
    </row>
    <row r="29" spans="1:7" x14ac:dyDescent="0.35">
      <c r="A29" s="1" t="s">
        <v>312</v>
      </c>
      <c r="B29" s="1" t="s">
        <v>113</v>
      </c>
      <c r="C29" s="1" t="s">
        <v>264</v>
      </c>
      <c r="D29" s="1" t="s">
        <v>351</v>
      </c>
      <c r="E29" s="1" t="s">
        <v>29</v>
      </c>
      <c r="F29" s="1" t="s">
        <v>75</v>
      </c>
      <c r="G29" s="1" t="s">
        <v>46</v>
      </c>
    </row>
    <row r="30" spans="1:7" x14ac:dyDescent="0.35">
      <c r="A30" s="1" t="s">
        <v>313</v>
      </c>
      <c r="B30" s="1" t="s">
        <v>115</v>
      </c>
      <c r="C30" s="1" t="s">
        <v>263</v>
      </c>
      <c r="D30" s="1" t="s">
        <v>352</v>
      </c>
      <c r="E30" s="1" t="s">
        <v>40</v>
      </c>
      <c r="F30" s="1" t="s">
        <v>60</v>
      </c>
      <c r="G30" s="1" t="s">
        <v>27</v>
      </c>
    </row>
    <row r="31" spans="1:7" x14ac:dyDescent="0.35">
      <c r="A31" s="1" t="s">
        <v>314</v>
      </c>
      <c r="B31" s="1" t="s">
        <v>117</v>
      </c>
      <c r="C31" s="1" t="s">
        <v>264</v>
      </c>
      <c r="D31" s="1" t="s">
        <v>353</v>
      </c>
      <c r="E31" s="1" t="s">
        <v>29</v>
      </c>
      <c r="F31" s="1" t="s">
        <v>37</v>
      </c>
      <c r="G31" s="1" t="s">
        <v>38</v>
      </c>
    </row>
    <row r="32" spans="1:7" x14ac:dyDescent="0.35">
      <c r="A32" s="1" t="s">
        <v>315</v>
      </c>
      <c r="B32" s="1" t="s">
        <v>119</v>
      </c>
      <c r="C32" s="1" t="s">
        <v>263</v>
      </c>
      <c r="D32" s="1" t="s">
        <v>354</v>
      </c>
      <c r="E32" s="1" t="s">
        <v>29</v>
      </c>
      <c r="F32" s="1" t="s">
        <v>45</v>
      </c>
      <c r="G32" s="1" t="s">
        <v>46</v>
      </c>
    </row>
    <row r="33" spans="1:7" x14ac:dyDescent="0.35">
      <c r="A33" s="1" t="s">
        <v>316</v>
      </c>
      <c r="B33" s="1" t="s">
        <v>121</v>
      </c>
      <c r="C33" s="1" t="s">
        <v>264</v>
      </c>
      <c r="D33" s="1" t="s">
        <v>355</v>
      </c>
      <c r="E33" s="1" t="s">
        <v>40</v>
      </c>
      <c r="F33" s="1" t="s">
        <v>26</v>
      </c>
      <c r="G33" s="1" t="s">
        <v>27</v>
      </c>
    </row>
    <row r="34" spans="1:7" x14ac:dyDescent="0.35">
      <c r="A34" s="1" t="s">
        <v>298</v>
      </c>
      <c r="B34" s="1" t="s">
        <v>123</v>
      </c>
      <c r="C34" s="1" t="s">
        <v>263</v>
      </c>
      <c r="D34" s="1" t="s">
        <v>356</v>
      </c>
      <c r="E34" s="1" t="s">
        <v>29</v>
      </c>
      <c r="F34" s="1" t="s">
        <v>54</v>
      </c>
      <c r="G34" s="1" t="s">
        <v>46</v>
      </c>
    </row>
    <row r="35" spans="1:7" x14ac:dyDescent="0.35">
      <c r="A35" s="1" t="s">
        <v>317</v>
      </c>
      <c r="B35" s="1" t="s">
        <v>125</v>
      </c>
      <c r="C35" s="1" t="s">
        <v>264</v>
      </c>
      <c r="D35" s="1" t="s">
        <v>357</v>
      </c>
      <c r="E35" s="1" t="s">
        <v>29</v>
      </c>
      <c r="F35" s="1" t="s">
        <v>80</v>
      </c>
      <c r="G35" s="1" t="s">
        <v>38</v>
      </c>
    </row>
    <row r="36" spans="1:7" x14ac:dyDescent="0.35">
      <c r="A36" s="1" t="s">
        <v>318</v>
      </c>
      <c r="B36" s="1" t="s">
        <v>127</v>
      </c>
      <c r="C36" s="1" t="s">
        <v>263</v>
      </c>
      <c r="D36" s="1" t="s">
        <v>358</v>
      </c>
      <c r="E36" s="1" t="s">
        <v>29</v>
      </c>
      <c r="F36" s="1" t="s">
        <v>75</v>
      </c>
      <c r="G36" s="1" t="s">
        <v>46</v>
      </c>
    </row>
    <row r="37" spans="1:7" x14ac:dyDescent="0.35">
      <c r="A37" s="1" t="s">
        <v>319</v>
      </c>
      <c r="B37" s="1" t="s">
        <v>129</v>
      </c>
      <c r="C37" s="1" t="s">
        <v>264</v>
      </c>
      <c r="D37" s="1" t="s">
        <v>359</v>
      </c>
      <c r="E37" s="1" t="s">
        <v>40</v>
      </c>
      <c r="F37" s="1" t="s">
        <v>60</v>
      </c>
      <c r="G37" s="1" t="s">
        <v>27</v>
      </c>
    </row>
    <row r="38" spans="1:7" x14ac:dyDescent="0.35">
      <c r="A38" s="1" t="s">
        <v>296</v>
      </c>
      <c r="B38" s="1" t="s">
        <v>131</v>
      </c>
      <c r="C38" s="1" t="s">
        <v>263</v>
      </c>
      <c r="D38" s="1" t="s">
        <v>360</v>
      </c>
      <c r="E38" s="1" t="s">
        <v>29</v>
      </c>
      <c r="F38" s="1" t="s">
        <v>45</v>
      </c>
      <c r="G38" s="1" t="s">
        <v>46</v>
      </c>
    </row>
    <row r="39" spans="1:7" x14ac:dyDescent="0.35">
      <c r="A39" s="1" t="s">
        <v>291</v>
      </c>
      <c r="B39" s="1" t="s">
        <v>133</v>
      </c>
      <c r="C39" s="1" t="s">
        <v>264</v>
      </c>
      <c r="D39" s="1" t="s">
        <v>361</v>
      </c>
      <c r="E39" s="1" t="s">
        <v>29</v>
      </c>
      <c r="F39" s="1" t="s">
        <v>26</v>
      </c>
      <c r="G39" s="1" t="s">
        <v>27</v>
      </c>
    </row>
    <row r="40" spans="1:7" x14ac:dyDescent="0.35">
      <c r="A40" s="1" t="s">
        <v>320</v>
      </c>
      <c r="B40" s="1" t="s">
        <v>135</v>
      </c>
      <c r="C40" s="1" t="s">
        <v>263</v>
      </c>
      <c r="D40" s="1" t="s">
        <v>362</v>
      </c>
      <c r="E40" s="1" t="s">
        <v>40</v>
      </c>
      <c r="F40" s="1" t="s">
        <v>37</v>
      </c>
      <c r="G40" s="1" t="s">
        <v>38</v>
      </c>
    </row>
    <row r="41" spans="1:7" x14ac:dyDescent="0.35">
      <c r="A41" s="1" t="s">
        <v>302</v>
      </c>
      <c r="B41" s="1" t="s">
        <v>137</v>
      </c>
      <c r="C41" s="1" t="s">
        <v>264</v>
      </c>
      <c r="D41" s="1" t="s">
        <v>363</v>
      </c>
      <c r="E41" s="1" t="s">
        <v>29</v>
      </c>
      <c r="F41" s="1" t="s">
        <v>54</v>
      </c>
      <c r="G41" s="1" t="s">
        <v>46</v>
      </c>
    </row>
    <row r="42" spans="1:7" x14ac:dyDescent="0.35">
      <c r="A42" s="1" t="s">
        <v>286</v>
      </c>
      <c r="B42" s="1" t="s">
        <v>139</v>
      </c>
      <c r="C42" s="1" t="s">
        <v>263</v>
      </c>
      <c r="D42" s="1" t="s">
        <v>364</v>
      </c>
      <c r="E42" s="1" t="s">
        <v>40</v>
      </c>
      <c r="F42" s="1" t="s">
        <v>80</v>
      </c>
      <c r="G42" s="1" t="s">
        <v>38</v>
      </c>
    </row>
    <row r="43" spans="1:7" x14ac:dyDescent="0.35">
      <c r="A43" s="1" t="s">
        <v>321</v>
      </c>
      <c r="B43" s="1" t="s">
        <v>141</v>
      </c>
      <c r="C43" s="1" t="s">
        <v>264</v>
      </c>
      <c r="D43" s="1" t="s">
        <v>365</v>
      </c>
      <c r="E43" s="1" t="s">
        <v>29</v>
      </c>
      <c r="F43" s="1" t="s">
        <v>60</v>
      </c>
      <c r="G43" s="1" t="s">
        <v>27</v>
      </c>
    </row>
    <row r="44" spans="1:7" x14ac:dyDescent="0.35">
      <c r="A44" s="1" t="s">
        <v>294</v>
      </c>
      <c r="B44" s="1" t="s">
        <v>143</v>
      </c>
      <c r="C44" s="1" t="s">
        <v>263</v>
      </c>
      <c r="D44" s="1" t="s">
        <v>366</v>
      </c>
      <c r="E44" s="1" t="s">
        <v>29</v>
      </c>
      <c r="F44" s="1" t="s">
        <v>75</v>
      </c>
      <c r="G44" s="1" t="s">
        <v>46</v>
      </c>
    </row>
    <row r="45" spans="1:7" x14ac:dyDescent="0.35">
      <c r="A45" s="1" t="s">
        <v>285</v>
      </c>
      <c r="B45" s="1" t="s">
        <v>145</v>
      </c>
      <c r="C45" s="1" t="s">
        <v>264</v>
      </c>
      <c r="D45" s="1" t="s">
        <v>367</v>
      </c>
      <c r="E45" s="1" t="s">
        <v>29</v>
      </c>
      <c r="F45" s="1" t="s">
        <v>45</v>
      </c>
      <c r="G45" s="1" t="s">
        <v>46</v>
      </c>
    </row>
    <row r="46" spans="1:7" x14ac:dyDescent="0.35">
      <c r="A46" s="1" t="s">
        <v>288</v>
      </c>
      <c r="B46" s="1" t="s">
        <v>147</v>
      </c>
      <c r="C46" s="1" t="s">
        <v>263</v>
      </c>
      <c r="D46" s="1" t="s">
        <v>368</v>
      </c>
      <c r="E46" s="1" t="s">
        <v>40</v>
      </c>
      <c r="F46" s="1" t="s">
        <v>26</v>
      </c>
      <c r="G46" s="1" t="s">
        <v>27</v>
      </c>
    </row>
    <row r="47" spans="1:7" x14ac:dyDescent="0.35">
      <c r="A47" s="1" t="s">
        <v>287</v>
      </c>
      <c r="B47" s="1" t="s">
        <v>149</v>
      </c>
      <c r="C47" s="1" t="s">
        <v>264</v>
      </c>
      <c r="D47" s="1" t="s">
        <v>369</v>
      </c>
      <c r="E47" s="1" t="s">
        <v>29</v>
      </c>
      <c r="F47" s="1" t="s">
        <v>37</v>
      </c>
      <c r="G47" s="1" t="s">
        <v>38</v>
      </c>
    </row>
    <row r="48" spans="1:7" x14ac:dyDescent="0.35">
      <c r="A48" s="1" t="s">
        <v>322</v>
      </c>
      <c r="B48" s="1" t="s">
        <v>151</v>
      </c>
      <c r="C48" s="1" t="s">
        <v>263</v>
      </c>
      <c r="D48" s="1" t="s">
        <v>370</v>
      </c>
      <c r="E48" s="1" t="s">
        <v>40</v>
      </c>
      <c r="F48" s="1" t="s">
        <v>60</v>
      </c>
      <c r="G48" s="1" t="s">
        <v>27</v>
      </c>
    </row>
    <row r="49" spans="1:7" x14ac:dyDescent="0.35">
      <c r="A49" s="1" t="s">
        <v>290</v>
      </c>
      <c r="B49" s="1" t="s">
        <v>153</v>
      </c>
      <c r="C49" s="1" t="s">
        <v>264</v>
      </c>
      <c r="D49" s="1" t="s">
        <v>371</v>
      </c>
      <c r="E49" s="1" t="s">
        <v>29</v>
      </c>
      <c r="F49" s="1" t="s">
        <v>54</v>
      </c>
      <c r="G49" s="1" t="s">
        <v>46</v>
      </c>
    </row>
    <row r="50" spans="1:7" x14ac:dyDescent="0.35">
      <c r="A50" s="1" t="s">
        <v>305</v>
      </c>
      <c r="B50" s="1" t="s">
        <v>155</v>
      </c>
      <c r="C50" s="1" t="s">
        <v>263</v>
      </c>
      <c r="D50" s="1" t="s">
        <v>372</v>
      </c>
      <c r="E50" s="1" t="s">
        <v>29</v>
      </c>
      <c r="F50" s="1" t="s">
        <v>45</v>
      </c>
      <c r="G50" s="1" t="s">
        <v>46</v>
      </c>
    </row>
    <row r="51" spans="1:7" x14ac:dyDescent="0.35">
      <c r="A51" s="1" t="s">
        <v>304</v>
      </c>
      <c r="B51" s="1" t="s">
        <v>157</v>
      </c>
      <c r="C51" s="1" t="s">
        <v>264</v>
      </c>
      <c r="D51" s="1" t="s">
        <v>373</v>
      </c>
      <c r="E51" s="1" t="s">
        <v>40</v>
      </c>
      <c r="F51" s="1" t="s">
        <v>80</v>
      </c>
      <c r="G51" s="1" t="s">
        <v>38</v>
      </c>
    </row>
    <row r="52" spans="1:7" x14ac:dyDescent="0.35">
      <c r="A52" s="1" t="s">
        <v>291</v>
      </c>
      <c r="B52" s="1" t="s">
        <v>159</v>
      </c>
      <c r="C52" s="1" t="s">
        <v>263</v>
      </c>
      <c r="D52" s="1" t="s">
        <v>374</v>
      </c>
      <c r="E52" s="1" t="s">
        <v>40</v>
      </c>
      <c r="F52" s="1" t="s">
        <v>75</v>
      </c>
      <c r="G52" s="1" t="s">
        <v>46</v>
      </c>
    </row>
    <row r="53" spans="1:7" x14ac:dyDescent="0.35">
      <c r="A53" s="1" t="s">
        <v>289</v>
      </c>
      <c r="B53" s="1" t="s">
        <v>161</v>
      </c>
      <c r="C53" s="1" t="s">
        <v>264</v>
      </c>
      <c r="D53" s="1" t="s">
        <v>375</v>
      </c>
      <c r="E53" s="1" t="s">
        <v>40</v>
      </c>
      <c r="F53" s="1" t="s">
        <v>26</v>
      </c>
      <c r="G53" s="1" t="s">
        <v>27</v>
      </c>
    </row>
    <row r="54" spans="1:7" x14ac:dyDescent="0.35">
      <c r="A54" s="1" t="s">
        <v>303</v>
      </c>
      <c r="B54" s="1" t="s">
        <v>163</v>
      </c>
      <c r="C54" s="1" t="s">
        <v>263</v>
      </c>
      <c r="D54" s="1" t="s">
        <v>376</v>
      </c>
      <c r="E54" s="1" t="s">
        <v>29</v>
      </c>
      <c r="F54" s="1" t="s">
        <v>37</v>
      </c>
      <c r="G54" s="1" t="s">
        <v>38</v>
      </c>
    </row>
    <row r="55" spans="1:7" x14ac:dyDescent="0.35">
      <c r="A55" s="1" t="s">
        <v>293</v>
      </c>
      <c r="B55" s="1" t="s">
        <v>165</v>
      </c>
      <c r="C55" s="1" t="s">
        <v>264</v>
      </c>
      <c r="D55" s="1" t="s">
        <v>377</v>
      </c>
      <c r="E55" s="1" t="s">
        <v>29</v>
      </c>
      <c r="F55" s="1" t="s">
        <v>60</v>
      </c>
      <c r="G55" s="1" t="s">
        <v>27</v>
      </c>
    </row>
    <row r="56" spans="1:7" x14ac:dyDescent="0.35">
      <c r="A56" s="1" t="s">
        <v>298</v>
      </c>
      <c r="B56" s="1" t="s">
        <v>167</v>
      </c>
      <c r="C56" s="1" t="s">
        <v>263</v>
      </c>
      <c r="D56" s="1" t="s">
        <v>378</v>
      </c>
      <c r="E56" s="1" t="s">
        <v>29</v>
      </c>
      <c r="F56" s="1" t="s">
        <v>54</v>
      </c>
      <c r="G56" s="1" t="s">
        <v>46</v>
      </c>
    </row>
    <row r="57" spans="1:7" x14ac:dyDescent="0.35">
      <c r="A57" s="1" t="s">
        <v>300</v>
      </c>
      <c r="B57" s="1" t="s">
        <v>169</v>
      </c>
      <c r="C57" s="1" t="s">
        <v>264</v>
      </c>
      <c r="D57" s="1" t="s">
        <v>379</v>
      </c>
      <c r="E57" s="1" t="s">
        <v>29</v>
      </c>
      <c r="F57" s="1" t="s">
        <v>45</v>
      </c>
      <c r="G57" s="1" t="s">
        <v>46</v>
      </c>
    </row>
    <row r="58" spans="1:7" x14ac:dyDescent="0.35">
      <c r="A58" s="1" t="s">
        <v>313</v>
      </c>
      <c r="B58" s="1" t="s">
        <v>171</v>
      </c>
      <c r="C58" s="1" t="s">
        <v>263</v>
      </c>
      <c r="D58" s="1" t="s">
        <v>380</v>
      </c>
      <c r="E58" s="1" t="s">
        <v>40</v>
      </c>
      <c r="F58" s="1" t="s">
        <v>26</v>
      </c>
      <c r="G58" s="1" t="s">
        <v>27</v>
      </c>
    </row>
    <row r="59" spans="1:7" x14ac:dyDescent="0.35">
      <c r="A59" s="1" t="s">
        <v>314</v>
      </c>
      <c r="B59" s="1" t="s">
        <v>173</v>
      </c>
      <c r="C59" s="1" t="s">
        <v>264</v>
      </c>
      <c r="D59" s="1" t="s">
        <v>381</v>
      </c>
      <c r="E59" s="1" t="s">
        <v>29</v>
      </c>
      <c r="F59" s="1" t="s">
        <v>80</v>
      </c>
      <c r="G59" s="1" t="s">
        <v>38</v>
      </c>
    </row>
    <row r="60" spans="1:7" x14ac:dyDescent="0.35">
      <c r="A60" s="1" t="s">
        <v>308</v>
      </c>
      <c r="B60" s="1" t="s">
        <v>175</v>
      </c>
      <c r="C60" s="1" t="s">
        <v>263</v>
      </c>
      <c r="D60" s="1" t="s">
        <v>382</v>
      </c>
      <c r="E60" s="1" t="s">
        <v>29</v>
      </c>
      <c r="F60" s="1" t="s">
        <v>75</v>
      </c>
      <c r="G60" s="1" t="s">
        <v>46</v>
      </c>
    </row>
    <row r="61" spans="1:7" x14ac:dyDescent="0.35">
      <c r="A61" s="1" t="s">
        <v>306</v>
      </c>
      <c r="B61" s="1" t="s">
        <v>177</v>
      </c>
      <c r="C61" s="1" t="s">
        <v>264</v>
      </c>
      <c r="D61" s="1" t="s">
        <v>383</v>
      </c>
      <c r="E61" s="1" t="s">
        <v>40</v>
      </c>
      <c r="F61" s="1" t="s">
        <v>60</v>
      </c>
      <c r="G61" s="1" t="s">
        <v>27</v>
      </c>
    </row>
    <row r="62" spans="1:7" x14ac:dyDescent="0.35">
      <c r="A62" s="1" t="s">
        <v>301</v>
      </c>
      <c r="B62" s="1" t="s">
        <v>179</v>
      </c>
      <c r="C62" s="1" t="s">
        <v>263</v>
      </c>
      <c r="D62" s="1" t="s">
        <v>384</v>
      </c>
      <c r="E62" s="1" t="s">
        <v>29</v>
      </c>
      <c r="F62" s="1" t="s">
        <v>37</v>
      </c>
      <c r="G62" s="1" t="s">
        <v>38</v>
      </c>
    </row>
    <row r="63" spans="1:7" x14ac:dyDescent="0.35">
      <c r="A63" s="1" t="s">
        <v>287</v>
      </c>
      <c r="B63" s="1" t="s">
        <v>181</v>
      </c>
      <c r="C63" s="1" t="s">
        <v>264</v>
      </c>
      <c r="D63" s="1" t="s">
        <v>385</v>
      </c>
      <c r="E63" s="1" t="s">
        <v>29</v>
      </c>
      <c r="F63" s="1" t="s">
        <v>45</v>
      </c>
      <c r="G63" s="1" t="s">
        <v>46</v>
      </c>
    </row>
    <row r="64" spans="1:7" x14ac:dyDescent="0.35">
      <c r="A64" s="1" t="s">
        <v>309</v>
      </c>
      <c r="B64" s="1" t="s">
        <v>183</v>
      </c>
      <c r="C64" s="1" t="s">
        <v>263</v>
      </c>
      <c r="D64" s="1" t="s">
        <v>386</v>
      </c>
      <c r="E64" s="1" t="s">
        <v>29</v>
      </c>
      <c r="F64" s="1" t="s">
        <v>26</v>
      </c>
      <c r="G64" s="1" t="s">
        <v>27</v>
      </c>
    </row>
    <row r="65" spans="1:7" x14ac:dyDescent="0.35">
      <c r="A65" s="1" t="s">
        <v>307</v>
      </c>
      <c r="B65" s="1" t="s">
        <v>185</v>
      </c>
      <c r="C65" s="1" t="s">
        <v>264</v>
      </c>
      <c r="D65" s="1" t="s">
        <v>387</v>
      </c>
      <c r="E65" s="1" t="s">
        <v>29</v>
      </c>
      <c r="F65" s="1" t="s">
        <v>54</v>
      </c>
      <c r="G65" s="1" t="s">
        <v>46</v>
      </c>
    </row>
    <row r="66" spans="1:7" x14ac:dyDescent="0.35">
      <c r="A66" s="1" t="s">
        <v>311</v>
      </c>
      <c r="B66" s="1" t="s">
        <v>187</v>
      </c>
      <c r="C66" s="1" t="s">
        <v>263</v>
      </c>
      <c r="D66" s="1" t="s">
        <v>388</v>
      </c>
      <c r="E66" s="1" t="s">
        <v>29</v>
      </c>
      <c r="F66" s="1" t="s">
        <v>80</v>
      </c>
      <c r="G66" s="1" t="s">
        <v>38</v>
      </c>
    </row>
    <row r="67" spans="1:7" x14ac:dyDescent="0.35">
      <c r="A67" s="1" t="s">
        <v>294</v>
      </c>
      <c r="B67" s="1" t="s">
        <v>189</v>
      </c>
      <c r="C67" s="1" t="s">
        <v>264</v>
      </c>
      <c r="D67" s="1" t="s">
        <v>389</v>
      </c>
      <c r="E67" s="1" t="s">
        <v>29</v>
      </c>
      <c r="F67" s="1" t="s">
        <v>75</v>
      </c>
      <c r="G67" s="1" t="s">
        <v>46</v>
      </c>
    </row>
    <row r="68" spans="1:7" x14ac:dyDescent="0.35">
      <c r="A68" s="1" t="s">
        <v>285</v>
      </c>
      <c r="B68" s="1" t="s">
        <v>191</v>
      </c>
      <c r="C68" s="1" t="s">
        <v>263</v>
      </c>
      <c r="D68" s="1" t="s">
        <v>390</v>
      </c>
      <c r="E68" s="1" t="s">
        <v>29</v>
      </c>
      <c r="F68" s="1" t="s">
        <v>60</v>
      </c>
      <c r="G68" s="1" t="s">
        <v>27</v>
      </c>
    </row>
    <row r="69" spans="1:7" x14ac:dyDescent="0.35">
      <c r="A69" s="1" t="s">
        <v>286</v>
      </c>
      <c r="B69" s="1" t="s">
        <v>193</v>
      </c>
      <c r="C69" s="1" t="s">
        <v>264</v>
      </c>
      <c r="D69" s="1" t="s">
        <v>391</v>
      </c>
      <c r="E69" s="1" t="s">
        <v>40</v>
      </c>
      <c r="F69" s="1" t="s">
        <v>45</v>
      </c>
      <c r="G69" s="1" t="s">
        <v>46</v>
      </c>
    </row>
    <row r="70" spans="1:7" x14ac:dyDescent="0.35">
      <c r="A70" s="1" t="s">
        <v>310</v>
      </c>
      <c r="B70" s="1" t="s">
        <v>195</v>
      </c>
      <c r="C70" s="1" t="s">
        <v>263</v>
      </c>
      <c r="D70" s="1" t="s">
        <v>392</v>
      </c>
      <c r="E70" s="1" t="s">
        <v>29</v>
      </c>
      <c r="F70" s="1" t="s">
        <v>37</v>
      </c>
      <c r="G70" s="1" t="s">
        <v>38</v>
      </c>
    </row>
    <row r="71" spans="1:7" x14ac:dyDescent="0.35">
      <c r="A71" s="1" t="s">
        <v>302</v>
      </c>
      <c r="B71" s="1" t="s">
        <v>197</v>
      </c>
      <c r="C71" s="1" t="s">
        <v>264</v>
      </c>
      <c r="D71" s="1" t="s">
        <v>393</v>
      </c>
      <c r="E71" s="1" t="s">
        <v>29</v>
      </c>
      <c r="F71" s="1" t="s">
        <v>26</v>
      </c>
      <c r="G71" s="1" t="s">
        <v>27</v>
      </c>
    </row>
    <row r="72" spans="1:7" x14ac:dyDescent="0.35">
      <c r="A72" s="1" t="s">
        <v>315</v>
      </c>
      <c r="B72" s="1" t="s">
        <v>199</v>
      </c>
      <c r="C72" s="1" t="s">
        <v>263</v>
      </c>
      <c r="D72" s="1" t="s">
        <v>394</v>
      </c>
      <c r="E72" s="1" t="s">
        <v>29</v>
      </c>
      <c r="F72" s="1" t="s">
        <v>54</v>
      </c>
      <c r="G72" s="1" t="s">
        <v>46</v>
      </c>
    </row>
    <row r="73" spans="1:7" x14ac:dyDescent="0.35">
      <c r="A73" s="1" t="s">
        <v>312</v>
      </c>
      <c r="B73" s="1" t="s">
        <v>201</v>
      </c>
      <c r="C73" s="1" t="s">
        <v>264</v>
      </c>
      <c r="D73" s="1" t="s">
        <v>395</v>
      </c>
      <c r="E73" s="1" t="s">
        <v>29</v>
      </c>
      <c r="F73" s="1" t="s">
        <v>60</v>
      </c>
      <c r="G73" s="1" t="s">
        <v>27</v>
      </c>
    </row>
    <row r="74" spans="1:7" x14ac:dyDescent="0.35">
      <c r="A74" s="1" t="s">
        <v>291</v>
      </c>
      <c r="B74" s="1" t="s">
        <v>203</v>
      </c>
      <c r="C74" s="1" t="s">
        <v>263</v>
      </c>
      <c r="D74" s="1" t="s">
        <v>396</v>
      </c>
      <c r="E74" s="1" t="s">
        <v>29</v>
      </c>
      <c r="F74" s="1" t="s">
        <v>45</v>
      </c>
      <c r="G74" s="1" t="s">
        <v>46</v>
      </c>
    </row>
    <row r="75" spans="1:7" x14ac:dyDescent="0.35">
      <c r="A75" s="1" t="s">
        <v>305</v>
      </c>
      <c r="B75" s="1" t="s">
        <v>205</v>
      </c>
      <c r="C75" s="1" t="s">
        <v>264</v>
      </c>
      <c r="D75" s="1" t="s">
        <v>397</v>
      </c>
      <c r="E75" s="1" t="s">
        <v>29</v>
      </c>
      <c r="F75" s="1" t="s">
        <v>80</v>
      </c>
      <c r="G75" s="1" t="s">
        <v>38</v>
      </c>
    </row>
    <row r="76" spans="1:7" x14ac:dyDescent="0.35">
      <c r="A76" s="1" t="s">
        <v>298</v>
      </c>
      <c r="B76" s="1" t="s">
        <v>207</v>
      </c>
      <c r="C76" s="1" t="s">
        <v>263</v>
      </c>
      <c r="D76" s="1" t="s">
        <v>398</v>
      </c>
      <c r="E76" s="1" t="s">
        <v>40</v>
      </c>
      <c r="F76" s="1" t="s">
        <v>75</v>
      </c>
      <c r="G76" s="1" t="s">
        <v>46</v>
      </c>
    </row>
    <row r="77" spans="1:7" x14ac:dyDescent="0.35">
      <c r="A77" s="1" t="s">
        <v>303</v>
      </c>
      <c r="B77" s="1" t="s">
        <v>209</v>
      </c>
      <c r="C77" s="1" t="s">
        <v>264</v>
      </c>
      <c r="D77" s="1" t="s">
        <v>399</v>
      </c>
      <c r="E77" s="1" t="s">
        <v>29</v>
      </c>
      <c r="F77" s="1" t="s">
        <v>26</v>
      </c>
      <c r="G77" s="1" t="s">
        <v>27</v>
      </c>
    </row>
    <row r="78" spans="1:7" x14ac:dyDescent="0.35">
      <c r="A78" s="1" t="s">
        <v>288</v>
      </c>
      <c r="B78" s="1" t="s">
        <v>211</v>
      </c>
      <c r="C78" s="1" t="s">
        <v>263</v>
      </c>
      <c r="D78" s="1" t="s">
        <v>400</v>
      </c>
      <c r="E78" s="1" t="s">
        <v>40</v>
      </c>
      <c r="F78" s="1" t="s">
        <v>37</v>
      </c>
      <c r="G78" s="1" t="s">
        <v>38</v>
      </c>
    </row>
    <row r="79" spans="1:7" x14ac:dyDescent="0.35">
      <c r="A79" s="1" t="s">
        <v>314</v>
      </c>
      <c r="B79" s="1" t="s">
        <v>213</v>
      </c>
      <c r="C79" s="1" t="s">
        <v>264</v>
      </c>
      <c r="D79" s="1" t="s">
        <v>401</v>
      </c>
      <c r="E79" s="1" t="s">
        <v>40</v>
      </c>
      <c r="F79" s="1" t="s">
        <v>60</v>
      </c>
      <c r="G79" s="1" t="s">
        <v>27</v>
      </c>
    </row>
    <row r="80" spans="1:7" x14ac:dyDescent="0.35">
      <c r="A80" s="1" t="s">
        <v>293</v>
      </c>
      <c r="B80" s="1" t="s">
        <v>215</v>
      </c>
      <c r="C80" s="1" t="s">
        <v>263</v>
      </c>
      <c r="D80" s="1" t="s">
        <v>402</v>
      </c>
      <c r="E80" s="1" t="s">
        <v>40</v>
      </c>
      <c r="F80" s="1" t="s">
        <v>54</v>
      </c>
      <c r="G80" s="1" t="s">
        <v>46</v>
      </c>
    </row>
    <row r="81" spans="1:7" x14ac:dyDescent="0.35">
      <c r="A81" s="1" t="s">
        <v>306</v>
      </c>
      <c r="B81" s="1" t="s">
        <v>217</v>
      </c>
      <c r="C81" s="1" t="s">
        <v>264</v>
      </c>
      <c r="D81" s="1" t="s">
        <v>403</v>
      </c>
      <c r="E81" s="1" t="s">
        <v>40</v>
      </c>
      <c r="F81" s="1" t="s">
        <v>45</v>
      </c>
      <c r="G81" s="1" t="s">
        <v>46</v>
      </c>
    </row>
    <row r="82" spans="1:7" x14ac:dyDescent="0.35">
      <c r="A82" s="1" t="s">
        <v>300</v>
      </c>
      <c r="B82" s="1" t="s">
        <v>219</v>
      </c>
      <c r="C82" s="1" t="s">
        <v>263</v>
      </c>
      <c r="D82" s="1" t="s">
        <v>404</v>
      </c>
      <c r="E82" s="1" t="s">
        <v>40</v>
      </c>
      <c r="F82" s="1" t="s">
        <v>26</v>
      </c>
      <c r="G82" s="1" t="s">
        <v>27</v>
      </c>
    </row>
    <row r="83" spans="1:7" x14ac:dyDescent="0.35">
      <c r="A83" s="1" t="s">
        <v>287</v>
      </c>
      <c r="B83" s="1" t="s">
        <v>221</v>
      </c>
      <c r="C83" s="1" t="s">
        <v>264</v>
      </c>
      <c r="D83" s="1" t="s">
        <v>405</v>
      </c>
      <c r="E83" s="1" t="s">
        <v>40</v>
      </c>
      <c r="F83" s="1" t="s">
        <v>80</v>
      </c>
      <c r="G83" s="1" t="s">
        <v>38</v>
      </c>
    </row>
    <row r="84" spans="1:7" x14ac:dyDescent="0.35">
      <c r="A84" s="1" t="s">
        <v>309</v>
      </c>
      <c r="B84" s="1" t="s">
        <v>223</v>
      </c>
      <c r="C84" s="1" t="s">
        <v>263</v>
      </c>
      <c r="D84" s="1" t="s">
        <v>406</v>
      </c>
      <c r="E84" s="1" t="s">
        <v>29</v>
      </c>
      <c r="F84" s="1" t="s">
        <v>75</v>
      </c>
      <c r="G84" s="1" t="s">
        <v>46</v>
      </c>
    </row>
    <row r="85" spans="1:7" x14ac:dyDescent="0.35">
      <c r="A85" s="1" t="s">
        <v>313</v>
      </c>
      <c r="B85" s="1" t="s">
        <v>225</v>
      </c>
      <c r="C85" s="1" t="s">
        <v>264</v>
      </c>
      <c r="D85" s="1" t="s">
        <v>407</v>
      </c>
      <c r="E85" s="1" t="s">
        <v>29</v>
      </c>
      <c r="F85" s="1" t="s">
        <v>60</v>
      </c>
      <c r="G85" s="1" t="s">
        <v>27</v>
      </c>
    </row>
    <row r="86" spans="1:7" x14ac:dyDescent="0.35">
      <c r="A86" s="1" t="s">
        <v>308</v>
      </c>
      <c r="B86" s="1" t="s">
        <v>227</v>
      </c>
      <c r="C86" s="1" t="s">
        <v>263</v>
      </c>
      <c r="D86" s="1" t="s">
        <v>408</v>
      </c>
      <c r="E86" s="1" t="s">
        <v>29</v>
      </c>
      <c r="F86" s="1" t="s">
        <v>37</v>
      </c>
      <c r="G86" s="1" t="s">
        <v>38</v>
      </c>
    </row>
    <row r="87" spans="1:7" x14ac:dyDescent="0.35">
      <c r="A87" s="1" t="s">
        <v>294</v>
      </c>
      <c r="B87" s="1" t="s">
        <v>229</v>
      </c>
      <c r="C87" s="1" t="s">
        <v>264</v>
      </c>
      <c r="D87" s="1" t="s">
        <v>351</v>
      </c>
      <c r="E87" s="1" t="s">
        <v>40</v>
      </c>
      <c r="F87" s="1" t="s">
        <v>45</v>
      </c>
      <c r="G87" s="1" t="s">
        <v>46</v>
      </c>
    </row>
    <row r="88" spans="1:7" x14ac:dyDescent="0.35">
      <c r="A88" s="1" t="s">
        <v>298</v>
      </c>
      <c r="B88" s="1" t="s">
        <v>243</v>
      </c>
      <c r="C88" s="1" t="s">
        <v>263</v>
      </c>
      <c r="D88" s="1" t="s">
        <v>409</v>
      </c>
      <c r="E88" s="1" t="s">
        <v>40</v>
      </c>
      <c r="F88" s="1" t="s">
        <v>37</v>
      </c>
      <c r="G88" s="1" t="s">
        <v>38</v>
      </c>
    </row>
    <row r="89" spans="1:7" x14ac:dyDescent="0.35">
      <c r="A89" s="1" t="s">
        <v>302</v>
      </c>
      <c r="B89" s="1" t="s">
        <v>245</v>
      </c>
      <c r="C89" s="1" t="s">
        <v>264</v>
      </c>
      <c r="D89" s="1" t="s">
        <v>410</v>
      </c>
      <c r="E89" s="1" t="s">
        <v>29</v>
      </c>
      <c r="F89" s="1" t="s">
        <v>26</v>
      </c>
      <c r="G89" s="1" t="s">
        <v>27</v>
      </c>
    </row>
    <row r="90" spans="1:7" x14ac:dyDescent="0.35">
      <c r="A90" s="1" t="s">
        <v>301</v>
      </c>
      <c r="B90" s="1" t="s">
        <v>247</v>
      </c>
      <c r="C90" s="1" t="s">
        <v>263</v>
      </c>
      <c r="D90" s="1" t="s">
        <v>411</v>
      </c>
      <c r="E90" s="1" t="s">
        <v>40</v>
      </c>
      <c r="F90" s="1" t="s">
        <v>54</v>
      </c>
      <c r="G90" s="1" t="s">
        <v>46</v>
      </c>
    </row>
    <row r="91" spans="1:7" x14ac:dyDescent="0.35">
      <c r="A91" s="1" t="s">
        <v>303</v>
      </c>
      <c r="B91" s="1" t="s">
        <v>249</v>
      </c>
      <c r="C91" s="1" t="s">
        <v>264</v>
      </c>
      <c r="D91" s="1" t="s">
        <v>412</v>
      </c>
      <c r="E91" s="1" t="s">
        <v>29</v>
      </c>
      <c r="F91" s="1" t="s">
        <v>80</v>
      </c>
      <c r="G91" s="1" t="s">
        <v>38</v>
      </c>
    </row>
    <row r="92" spans="1:7" x14ac:dyDescent="0.35">
      <c r="A92" s="1" t="s">
        <v>305</v>
      </c>
      <c r="B92" s="1" t="s">
        <v>251</v>
      </c>
      <c r="C92" s="1" t="s">
        <v>263</v>
      </c>
      <c r="D92" s="1" t="s">
        <v>344</v>
      </c>
      <c r="E92" s="1" t="s">
        <v>40</v>
      </c>
      <c r="F92" s="1" t="s">
        <v>45</v>
      </c>
      <c r="G92" s="1" t="s">
        <v>46</v>
      </c>
    </row>
    <row r="93" spans="1:7" x14ac:dyDescent="0.35">
      <c r="A93" s="1" t="s">
        <v>300</v>
      </c>
      <c r="B93" s="1" t="s">
        <v>253</v>
      </c>
      <c r="C93" s="1" t="s">
        <v>264</v>
      </c>
      <c r="D93" s="1" t="s">
        <v>413</v>
      </c>
      <c r="E93" s="1" t="s">
        <v>40</v>
      </c>
      <c r="F93" s="1" t="s">
        <v>75</v>
      </c>
      <c r="G93" s="1" t="s">
        <v>46</v>
      </c>
    </row>
    <row r="94" spans="1:7" x14ac:dyDescent="0.35">
      <c r="A94" s="1" t="s">
        <v>296</v>
      </c>
      <c r="B94" s="1" t="s">
        <v>255</v>
      </c>
      <c r="C94" s="1" t="s">
        <v>263</v>
      </c>
      <c r="D94" s="1" t="s">
        <v>414</v>
      </c>
      <c r="E94" s="1" t="s">
        <v>40</v>
      </c>
      <c r="F94" s="1" t="s">
        <v>60</v>
      </c>
      <c r="G94" s="1" t="s">
        <v>27</v>
      </c>
    </row>
    <row r="95" spans="1:7" x14ac:dyDescent="0.35">
      <c r="A95" s="1" t="s">
        <v>306</v>
      </c>
      <c r="B95" s="1" t="s">
        <v>257</v>
      </c>
      <c r="C95" s="1" t="s">
        <v>264</v>
      </c>
      <c r="D95" s="1" t="s">
        <v>415</v>
      </c>
      <c r="E95" s="1" t="s">
        <v>29</v>
      </c>
      <c r="F95" s="1" t="s">
        <v>26</v>
      </c>
      <c r="G95" s="1" t="s">
        <v>27</v>
      </c>
    </row>
    <row r="96" spans="1:7" x14ac:dyDescent="0.35">
      <c r="A96" s="1" t="s">
        <v>285</v>
      </c>
      <c r="B96" s="1" t="s">
        <v>231</v>
      </c>
      <c r="C96" s="1" t="s">
        <v>263</v>
      </c>
      <c r="D96" s="1" t="s">
        <v>416</v>
      </c>
      <c r="E96" s="1" t="s">
        <v>40</v>
      </c>
      <c r="F96" s="1" t="s">
        <v>54</v>
      </c>
      <c r="G96" s="1" t="s">
        <v>46</v>
      </c>
    </row>
    <row r="97" spans="1:7" x14ac:dyDescent="0.35">
      <c r="A97" s="1" t="s">
        <v>286</v>
      </c>
      <c r="B97" s="1" t="s">
        <v>233</v>
      </c>
      <c r="C97" s="1" t="s">
        <v>264</v>
      </c>
      <c r="D97" s="1" t="s">
        <v>417</v>
      </c>
      <c r="E97" s="1" t="s">
        <v>29</v>
      </c>
      <c r="F97" s="1" t="s">
        <v>26</v>
      </c>
      <c r="G97" s="1" t="s">
        <v>27</v>
      </c>
    </row>
    <row r="98" spans="1:7" x14ac:dyDescent="0.35">
      <c r="A98" s="1" t="s">
        <v>310</v>
      </c>
      <c r="B98" s="1" t="s">
        <v>235</v>
      </c>
      <c r="C98" s="1" t="s">
        <v>263</v>
      </c>
      <c r="D98" s="1" t="s">
        <v>418</v>
      </c>
      <c r="E98" s="1" t="s">
        <v>29</v>
      </c>
      <c r="F98" s="1" t="s">
        <v>80</v>
      </c>
      <c r="G98" s="1" t="s">
        <v>38</v>
      </c>
    </row>
    <row r="99" spans="1:7" x14ac:dyDescent="0.35">
      <c r="A99" s="1" t="s">
        <v>307</v>
      </c>
      <c r="B99" s="1" t="s">
        <v>237</v>
      </c>
      <c r="C99" s="1" t="s">
        <v>264</v>
      </c>
      <c r="D99" s="1" t="s">
        <v>419</v>
      </c>
      <c r="E99" s="1" t="s">
        <v>29</v>
      </c>
      <c r="F99" s="1" t="s">
        <v>75</v>
      </c>
      <c r="G99" s="1" t="s">
        <v>46</v>
      </c>
    </row>
    <row r="100" spans="1:7" x14ac:dyDescent="0.35">
      <c r="A100" s="1" t="s">
        <v>311</v>
      </c>
      <c r="B100" s="1" t="s">
        <v>239</v>
      </c>
      <c r="C100" s="1" t="s">
        <v>263</v>
      </c>
      <c r="D100" s="1" t="s">
        <v>420</v>
      </c>
      <c r="E100" s="1" t="s">
        <v>29</v>
      </c>
      <c r="F100" s="1" t="s">
        <v>60</v>
      </c>
      <c r="G100" s="1" t="s">
        <v>27</v>
      </c>
    </row>
    <row r="101" spans="1:7" x14ac:dyDescent="0.35">
      <c r="A101" s="1" t="s">
        <v>291</v>
      </c>
      <c r="B101" s="1" t="s">
        <v>241</v>
      </c>
      <c r="C101" s="1" t="s">
        <v>264</v>
      </c>
      <c r="D101" s="1" t="s">
        <v>341</v>
      </c>
      <c r="E101" s="1" t="s">
        <v>40</v>
      </c>
      <c r="F101" s="1" t="s">
        <v>45</v>
      </c>
      <c r="G101" s="1"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4C47-1561-4714-8078-B761ABC2AE2F}">
  <dimension ref="A1:AF328"/>
  <sheetViews>
    <sheetView topLeftCell="A244" workbookViewId="0">
      <selection activeCell="F109" sqref="F109"/>
    </sheetView>
  </sheetViews>
  <sheetFormatPr defaultRowHeight="14.5" x14ac:dyDescent="0.35"/>
  <cols>
    <col min="2" max="3" width="12.453125" bestFit="1" customWidth="1"/>
    <col min="4" max="4" width="15.26953125" bestFit="1" customWidth="1"/>
    <col min="5" max="5" width="8.81640625" bestFit="1" customWidth="1"/>
    <col min="6" max="7" width="10.36328125" bestFit="1" customWidth="1"/>
    <col min="8" max="8" width="15" bestFit="1" customWidth="1"/>
    <col min="9" max="9" width="27.7265625" bestFit="1" customWidth="1"/>
    <col min="10" max="10" width="20.453125" bestFit="1" customWidth="1"/>
    <col min="11" max="11" width="13.90625" bestFit="1" customWidth="1"/>
    <col min="12" max="12" width="23" bestFit="1" customWidth="1"/>
    <col min="13" max="13" width="19.81640625" bestFit="1" customWidth="1"/>
    <col min="14" max="14" width="17.26953125" bestFit="1" customWidth="1"/>
    <col min="15" max="15" width="13.08984375" bestFit="1" customWidth="1"/>
    <col min="16" max="16" width="9.1796875" bestFit="1" customWidth="1"/>
    <col min="17" max="17" width="12.54296875" bestFit="1" customWidth="1"/>
    <col min="18" max="18" width="23.26953125" bestFit="1" customWidth="1"/>
    <col min="19" max="19" width="24.08984375" bestFit="1" customWidth="1"/>
    <col min="20" max="20" width="19.1796875" bestFit="1" customWidth="1"/>
    <col min="21" max="21" width="11.26953125" bestFit="1" customWidth="1"/>
    <col min="22" max="22" width="12.54296875" bestFit="1" customWidth="1"/>
    <col min="23" max="23" width="20.7265625" bestFit="1" customWidth="1"/>
    <col min="24" max="24" width="15" bestFit="1" customWidth="1"/>
    <col min="25" max="25" width="23.90625" bestFit="1" customWidth="1"/>
    <col min="26" max="27" width="18.453125" bestFit="1" customWidth="1"/>
    <col min="28" max="28" width="25.7265625" bestFit="1" customWidth="1"/>
    <col min="29" max="29" width="23.1796875" bestFit="1" customWidth="1"/>
    <col min="30" max="30" width="26.36328125" bestFit="1" customWidth="1"/>
    <col min="31" max="31" width="22" bestFit="1" customWidth="1"/>
    <col min="32" max="32" width="13" bestFit="1" customWidth="1"/>
    <col min="33" max="33" width="16.08984375" bestFit="1" customWidth="1"/>
    <col min="34" max="34" width="15.08984375" bestFit="1" customWidth="1"/>
    <col min="35" max="35" width="15.26953125" bestFit="1" customWidth="1"/>
    <col min="36" max="36" width="24.08984375" bestFit="1" customWidth="1"/>
    <col min="37" max="37" width="17.36328125" bestFit="1" customWidth="1"/>
    <col min="38" max="38" width="15.26953125" bestFit="1" customWidth="1"/>
    <col min="39" max="39" width="23.1796875" bestFit="1" customWidth="1"/>
    <col min="40" max="40" width="13.6328125" bestFit="1" customWidth="1"/>
    <col min="41" max="41" width="10.7265625" bestFit="1" customWidth="1"/>
    <col min="42" max="42" width="13.7265625" bestFit="1" customWidth="1"/>
    <col min="43" max="43" width="25.90625" bestFit="1" customWidth="1"/>
    <col min="44" max="44" width="24.1796875" bestFit="1" customWidth="1"/>
    <col min="45" max="45" width="13.90625" bestFit="1" customWidth="1"/>
    <col min="46" max="46" width="16.1796875" bestFit="1" customWidth="1"/>
    <col min="47" max="47" width="17" bestFit="1" customWidth="1"/>
    <col min="48" max="48" width="9.7265625" bestFit="1" customWidth="1"/>
    <col min="49" max="49" width="14.7265625" bestFit="1" customWidth="1"/>
    <col min="50" max="50" width="18.7265625" bestFit="1" customWidth="1"/>
    <col min="51" max="51" width="30.26953125" bestFit="1" customWidth="1"/>
    <col min="52" max="52" width="15.7265625" bestFit="1" customWidth="1"/>
    <col min="53" max="53" width="23.453125" bestFit="1" customWidth="1"/>
    <col min="54" max="54" width="19.36328125" bestFit="1" customWidth="1"/>
    <col min="55" max="55" width="21.54296875" bestFit="1" customWidth="1"/>
    <col min="56" max="56" width="17.7265625" bestFit="1" customWidth="1"/>
    <col min="57" max="57" width="26.6328125" bestFit="1" customWidth="1"/>
    <col min="58" max="58" width="19.08984375" bestFit="1" customWidth="1"/>
    <col min="59" max="59" width="20.453125" bestFit="1" customWidth="1"/>
    <col min="60" max="60" width="15.453125" bestFit="1" customWidth="1"/>
    <col min="61" max="61" width="17.6328125" bestFit="1" customWidth="1"/>
    <col min="62" max="62" width="33.7265625" bestFit="1" customWidth="1"/>
    <col min="63" max="63" width="14.453125" bestFit="1" customWidth="1"/>
    <col min="64" max="64" width="18.1796875" bestFit="1" customWidth="1"/>
    <col min="65" max="65" width="14.08984375" bestFit="1" customWidth="1"/>
    <col min="66" max="66" width="12.6328125" bestFit="1" customWidth="1"/>
    <col min="67" max="67" width="14.90625" bestFit="1" customWidth="1"/>
    <col min="68" max="68" width="20.54296875" bestFit="1" customWidth="1"/>
    <col min="69" max="69" width="14.90625" bestFit="1" customWidth="1"/>
    <col min="70" max="70" width="13.1796875" bestFit="1" customWidth="1"/>
    <col min="71" max="71" width="17.6328125" bestFit="1" customWidth="1"/>
    <col min="72" max="72" width="10.81640625" bestFit="1" customWidth="1"/>
    <col min="73" max="73" width="23.6328125" bestFit="1" customWidth="1"/>
    <col min="74" max="74" width="14.36328125" bestFit="1" customWidth="1"/>
    <col min="75" max="75" width="8.54296875" bestFit="1" customWidth="1"/>
    <col min="76" max="76" width="20.6328125" bestFit="1" customWidth="1"/>
    <col min="77" max="77" width="11" bestFit="1" customWidth="1"/>
    <col min="78" max="78" width="13.6328125" bestFit="1" customWidth="1"/>
    <col min="79" max="79" width="15.7265625" bestFit="1" customWidth="1"/>
    <col min="80" max="80" width="13.90625" bestFit="1" customWidth="1"/>
    <col min="81" max="81" width="12.90625" bestFit="1" customWidth="1"/>
    <col min="82" max="82" width="11.54296875" bestFit="1" customWidth="1"/>
    <col min="83" max="83" width="12.26953125" bestFit="1" customWidth="1"/>
    <col min="84" max="84" width="16.26953125" bestFit="1" customWidth="1"/>
    <col min="85" max="85" width="15.08984375" bestFit="1" customWidth="1"/>
    <col min="86" max="86" width="13" bestFit="1" customWidth="1"/>
    <col min="87" max="87" width="19.08984375" bestFit="1" customWidth="1"/>
    <col min="88" max="88" width="15.90625" bestFit="1" customWidth="1"/>
    <col min="89" max="89" width="16.81640625" bestFit="1" customWidth="1"/>
    <col min="90" max="90" width="18.7265625" bestFit="1" customWidth="1"/>
    <col min="91" max="91" width="19" bestFit="1" customWidth="1"/>
    <col min="92" max="92" width="23.6328125" bestFit="1" customWidth="1"/>
    <col min="93" max="93" width="13.36328125" bestFit="1" customWidth="1"/>
    <col min="94" max="94" width="13.453125" bestFit="1" customWidth="1"/>
    <col min="95" max="95" width="14.54296875" bestFit="1" customWidth="1"/>
    <col min="96" max="96" width="15.26953125" bestFit="1" customWidth="1"/>
    <col min="97" max="97" width="18" bestFit="1" customWidth="1"/>
    <col min="98" max="98" width="14.54296875" bestFit="1" customWidth="1"/>
    <col min="99" max="99" width="13.54296875" bestFit="1" customWidth="1"/>
    <col min="100" max="100" width="10.08984375" bestFit="1" customWidth="1"/>
    <col min="101" max="101" width="7.90625" bestFit="1" customWidth="1"/>
    <col min="102" max="102" width="17.81640625" bestFit="1" customWidth="1"/>
    <col min="103" max="103" width="10.36328125" bestFit="1" customWidth="1"/>
  </cols>
  <sheetData>
    <row r="1" spans="1:32" x14ac:dyDescent="0.35">
      <c r="A1" t="s">
        <v>259</v>
      </c>
      <c r="B1" t="s">
        <v>0</v>
      </c>
      <c r="C1" t="s">
        <v>1</v>
      </c>
      <c r="D1" t="s">
        <v>2</v>
      </c>
      <c r="E1" t="s">
        <v>3</v>
      </c>
      <c r="F1" t="s">
        <v>4</v>
      </c>
      <c r="G1" t="s">
        <v>5</v>
      </c>
      <c r="H1" t="s">
        <v>6</v>
      </c>
      <c r="I1" t="s">
        <v>9</v>
      </c>
      <c r="J1" t="s">
        <v>10</v>
      </c>
      <c r="K1" t="s">
        <v>11</v>
      </c>
      <c r="L1" t="s">
        <v>422</v>
      </c>
      <c r="M1" t="s">
        <v>16</v>
      </c>
      <c r="N1" t="s">
        <v>12</v>
      </c>
      <c r="O1" t="s">
        <v>13</v>
      </c>
      <c r="P1" t="s">
        <v>14</v>
      </c>
      <c r="Q1" t="s">
        <v>17</v>
      </c>
      <c r="R1" t="s">
        <v>18</v>
      </c>
      <c r="S1" t="s">
        <v>19</v>
      </c>
      <c r="T1" t="s">
        <v>20</v>
      </c>
      <c r="U1" t="s">
        <v>261</v>
      </c>
      <c r="V1" t="s">
        <v>262</v>
      </c>
      <c r="W1" t="s">
        <v>428</v>
      </c>
      <c r="X1" t="s">
        <v>429</v>
      </c>
      <c r="Y1" t="s">
        <v>265</v>
      </c>
      <c r="Z1" t="s">
        <v>430</v>
      </c>
      <c r="AA1" t="s">
        <v>431</v>
      </c>
      <c r="AB1" t="s">
        <v>260</v>
      </c>
      <c r="AC1" t="s">
        <v>15</v>
      </c>
      <c r="AD1" t="s">
        <v>7</v>
      </c>
      <c r="AE1" t="s">
        <v>8</v>
      </c>
      <c r="AF1" t="s">
        <v>437</v>
      </c>
    </row>
    <row r="2" spans="1:32" x14ac:dyDescent="0.35">
      <c r="A2" t="s">
        <v>207</v>
      </c>
      <c r="B2" s="26">
        <v>31339</v>
      </c>
      <c r="C2">
        <v>39</v>
      </c>
      <c r="D2" s="26">
        <v>41983</v>
      </c>
      <c r="E2" t="s">
        <v>42</v>
      </c>
      <c r="F2" t="s">
        <v>43</v>
      </c>
      <c r="G2" t="s">
        <v>208</v>
      </c>
      <c r="H2" t="s">
        <v>25</v>
      </c>
      <c r="I2" t="s">
        <v>47</v>
      </c>
      <c r="J2">
        <v>1450000</v>
      </c>
      <c r="K2">
        <v>165000</v>
      </c>
      <c r="L2">
        <v>1615000</v>
      </c>
      <c r="M2">
        <v>19</v>
      </c>
      <c r="N2">
        <v>4.8</v>
      </c>
      <c r="O2">
        <v>99.1</v>
      </c>
      <c r="P2">
        <v>4</v>
      </c>
      <c r="Q2" t="s">
        <v>48</v>
      </c>
      <c r="R2" t="s">
        <v>31</v>
      </c>
      <c r="S2">
        <v>43819</v>
      </c>
      <c r="T2" t="s">
        <v>32</v>
      </c>
      <c r="U2" t="s">
        <v>398</v>
      </c>
      <c r="V2" t="s">
        <v>298</v>
      </c>
      <c r="W2" t="s">
        <v>440</v>
      </c>
      <c r="X2" t="s">
        <v>441</v>
      </c>
      <c r="Y2" t="s">
        <v>274</v>
      </c>
      <c r="Z2">
        <v>1615000</v>
      </c>
      <c r="AA2" t="s">
        <v>72</v>
      </c>
      <c r="AB2" t="s">
        <v>263</v>
      </c>
      <c r="AC2" t="s">
        <v>29</v>
      </c>
      <c r="AD2" t="s">
        <v>75</v>
      </c>
      <c r="AE2" t="s">
        <v>46</v>
      </c>
      <c r="AF2" t="s">
        <v>442</v>
      </c>
    </row>
    <row r="3" spans="1:32" x14ac:dyDescent="0.35">
      <c r="A3" t="s">
        <v>95</v>
      </c>
      <c r="B3" s="26">
        <v>31301</v>
      </c>
      <c r="C3">
        <v>39</v>
      </c>
      <c r="D3" s="26">
        <v>42070</v>
      </c>
      <c r="E3" t="s">
        <v>22</v>
      </c>
      <c r="F3" t="s">
        <v>23</v>
      </c>
      <c r="G3" t="s">
        <v>96</v>
      </c>
      <c r="H3" t="s">
        <v>25</v>
      </c>
      <c r="I3" t="s">
        <v>28</v>
      </c>
      <c r="J3">
        <v>1450000</v>
      </c>
      <c r="K3">
        <v>165000</v>
      </c>
      <c r="L3">
        <v>1615000</v>
      </c>
      <c r="M3">
        <v>17</v>
      </c>
      <c r="N3">
        <v>4.8</v>
      </c>
      <c r="O3">
        <v>99.2</v>
      </c>
      <c r="P3">
        <v>5</v>
      </c>
      <c r="Q3" t="s">
        <v>48</v>
      </c>
      <c r="R3" t="s">
        <v>31</v>
      </c>
      <c r="S3">
        <v>43905</v>
      </c>
      <c r="T3" t="s">
        <v>32</v>
      </c>
      <c r="U3" t="s">
        <v>332</v>
      </c>
      <c r="V3" t="s">
        <v>293</v>
      </c>
      <c r="W3" t="s">
        <v>443</v>
      </c>
      <c r="X3" t="s">
        <v>444</v>
      </c>
      <c r="Y3" t="s">
        <v>269</v>
      </c>
      <c r="Z3">
        <v>1615000</v>
      </c>
      <c r="AA3" t="s">
        <v>72</v>
      </c>
      <c r="AB3" t="s">
        <v>263</v>
      </c>
      <c r="AC3" t="s">
        <v>40</v>
      </c>
      <c r="AD3" t="s">
        <v>80</v>
      </c>
      <c r="AE3" t="s">
        <v>38</v>
      </c>
      <c r="AF3" t="s">
        <v>442</v>
      </c>
    </row>
    <row r="4" spans="1:32" x14ac:dyDescent="0.35">
      <c r="A4" t="s">
        <v>251</v>
      </c>
      <c r="B4" s="26">
        <v>31462</v>
      </c>
      <c r="D4" s="26">
        <v>42137</v>
      </c>
      <c r="E4" t="s">
        <v>42</v>
      </c>
      <c r="F4" t="s">
        <v>65</v>
      </c>
      <c r="G4" t="s">
        <v>252</v>
      </c>
      <c r="H4" t="s">
        <v>25</v>
      </c>
      <c r="I4" t="s">
        <v>67</v>
      </c>
      <c r="J4">
        <v>1380000</v>
      </c>
      <c r="K4">
        <v>158000</v>
      </c>
      <c r="L4">
        <v>1538000</v>
      </c>
      <c r="M4">
        <v>18</v>
      </c>
      <c r="N4">
        <v>4.8</v>
      </c>
      <c r="O4">
        <v>99</v>
      </c>
      <c r="P4">
        <v>4</v>
      </c>
      <c r="Q4" t="s">
        <v>48</v>
      </c>
      <c r="R4" t="s">
        <v>31</v>
      </c>
      <c r="S4">
        <v>43971</v>
      </c>
      <c r="T4" t="s">
        <v>32</v>
      </c>
      <c r="U4" t="s">
        <v>344</v>
      </c>
      <c r="V4" t="s">
        <v>305</v>
      </c>
      <c r="W4" t="s">
        <v>445</v>
      </c>
      <c r="X4" t="s">
        <v>446</v>
      </c>
      <c r="Y4" t="s">
        <v>271</v>
      </c>
      <c r="Z4">
        <v>1768700</v>
      </c>
      <c r="AA4" t="s">
        <v>72</v>
      </c>
      <c r="AB4" t="s">
        <v>263</v>
      </c>
      <c r="AC4" t="s">
        <v>40</v>
      </c>
      <c r="AD4" t="s">
        <v>45</v>
      </c>
      <c r="AE4" t="s">
        <v>46</v>
      </c>
      <c r="AF4" t="s">
        <v>442</v>
      </c>
    </row>
    <row r="5" spans="1:32" x14ac:dyDescent="0.35">
      <c r="A5" t="s">
        <v>56</v>
      </c>
      <c r="B5" s="26">
        <v>32129</v>
      </c>
      <c r="C5">
        <v>37</v>
      </c>
      <c r="D5" s="26">
        <v>42559</v>
      </c>
      <c r="E5" t="s">
        <v>57</v>
      </c>
      <c r="F5" t="s">
        <v>58</v>
      </c>
      <c r="G5" t="s">
        <v>59</v>
      </c>
      <c r="H5" t="s">
        <v>25</v>
      </c>
      <c r="I5" t="s">
        <v>61</v>
      </c>
      <c r="J5">
        <v>1100000</v>
      </c>
      <c r="K5">
        <v>120000</v>
      </c>
      <c r="L5">
        <v>1220000</v>
      </c>
      <c r="M5">
        <v>15</v>
      </c>
      <c r="N5">
        <v>4.7</v>
      </c>
      <c r="O5">
        <v>99</v>
      </c>
      <c r="P5">
        <v>4</v>
      </c>
      <c r="Q5" t="s">
        <v>48</v>
      </c>
      <c r="R5" t="s">
        <v>31</v>
      </c>
      <c r="S5">
        <v>44397</v>
      </c>
      <c r="T5" t="s">
        <v>32</v>
      </c>
      <c r="U5" t="s">
        <v>338</v>
      </c>
      <c r="V5" t="s">
        <v>299</v>
      </c>
      <c r="W5" t="s">
        <v>447</v>
      </c>
      <c r="X5" t="s">
        <v>448</v>
      </c>
      <c r="Y5" t="s">
        <v>273</v>
      </c>
      <c r="Z5">
        <v>1220000</v>
      </c>
      <c r="AA5" t="s">
        <v>72</v>
      </c>
      <c r="AB5" t="s">
        <v>263</v>
      </c>
      <c r="AC5" t="s">
        <v>29</v>
      </c>
      <c r="AD5" t="s">
        <v>60</v>
      </c>
      <c r="AE5" t="s">
        <v>27</v>
      </c>
      <c r="AF5" t="s">
        <v>442</v>
      </c>
    </row>
    <row r="6" spans="1:32" x14ac:dyDescent="0.35">
      <c r="A6" t="s">
        <v>151</v>
      </c>
      <c r="B6" s="26">
        <v>31355</v>
      </c>
      <c r="C6">
        <v>39</v>
      </c>
      <c r="D6" s="26">
        <v>42115</v>
      </c>
      <c r="E6" t="s">
        <v>34</v>
      </c>
      <c r="F6" t="s">
        <v>58</v>
      </c>
      <c r="G6" t="s">
        <v>152</v>
      </c>
      <c r="H6" t="s">
        <v>25</v>
      </c>
      <c r="I6" t="s">
        <v>61</v>
      </c>
      <c r="J6">
        <v>1080000</v>
      </c>
      <c r="K6">
        <v>115000</v>
      </c>
      <c r="L6">
        <v>1195000</v>
      </c>
      <c r="M6">
        <v>18</v>
      </c>
      <c r="N6">
        <v>4.5999999999999996</v>
      </c>
      <c r="O6">
        <v>98.6</v>
      </c>
      <c r="P6">
        <v>4</v>
      </c>
      <c r="Q6" t="s">
        <v>48</v>
      </c>
      <c r="R6" t="s">
        <v>31</v>
      </c>
      <c r="S6">
        <v>43931</v>
      </c>
      <c r="T6" t="s">
        <v>32</v>
      </c>
      <c r="U6" t="s">
        <v>370</v>
      </c>
      <c r="V6" t="s">
        <v>322</v>
      </c>
      <c r="W6" t="s">
        <v>449</v>
      </c>
      <c r="X6" t="s">
        <v>450</v>
      </c>
      <c r="Y6" t="s">
        <v>273</v>
      </c>
      <c r="Z6">
        <v>1195000</v>
      </c>
      <c r="AA6" t="s">
        <v>72</v>
      </c>
      <c r="AB6" t="s">
        <v>263</v>
      </c>
      <c r="AC6" t="s">
        <v>29</v>
      </c>
      <c r="AD6" t="s">
        <v>60</v>
      </c>
      <c r="AE6" t="s">
        <v>27</v>
      </c>
      <c r="AF6" t="s">
        <v>442</v>
      </c>
    </row>
    <row r="7" spans="1:32" x14ac:dyDescent="0.35">
      <c r="A7" t="s">
        <v>139</v>
      </c>
      <c r="B7" s="26">
        <v>33015</v>
      </c>
      <c r="C7">
        <v>34</v>
      </c>
      <c r="D7" s="26">
        <v>43419</v>
      </c>
      <c r="E7" t="s">
        <v>69</v>
      </c>
      <c r="F7" t="s">
        <v>23</v>
      </c>
      <c r="G7" t="s">
        <v>140</v>
      </c>
      <c r="H7" t="s">
        <v>25</v>
      </c>
      <c r="I7" t="s">
        <v>28</v>
      </c>
      <c r="J7">
        <v>1050000</v>
      </c>
      <c r="K7">
        <v>110000</v>
      </c>
      <c r="L7">
        <v>1160000</v>
      </c>
      <c r="M7">
        <v>11</v>
      </c>
      <c r="N7">
        <v>4.7</v>
      </c>
      <c r="O7">
        <v>98.9</v>
      </c>
      <c r="P7">
        <v>5</v>
      </c>
      <c r="Q7" t="s">
        <v>30</v>
      </c>
      <c r="R7" t="s">
        <v>31</v>
      </c>
      <c r="S7">
        <v>44885</v>
      </c>
      <c r="T7" t="s">
        <v>32</v>
      </c>
      <c r="U7" t="s">
        <v>364</v>
      </c>
      <c r="V7" t="s">
        <v>286</v>
      </c>
      <c r="W7" t="s">
        <v>451</v>
      </c>
      <c r="X7" t="s">
        <v>452</v>
      </c>
      <c r="Y7" t="s">
        <v>269</v>
      </c>
      <c r="Z7">
        <v>1160000</v>
      </c>
      <c r="AA7" t="s">
        <v>72</v>
      </c>
      <c r="AB7" t="s">
        <v>263</v>
      </c>
      <c r="AC7" t="s">
        <v>29</v>
      </c>
      <c r="AD7" t="s">
        <v>80</v>
      </c>
      <c r="AE7" t="s">
        <v>38</v>
      </c>
      <c r="AF7" t="s">
        <v>442</v>
      </c>
    </row>
    <row r="8" spans="1:32" x14ac:dyDescent="0.35">
      <c r="A8" t="s">
        <v>73</v>
      </c>
      <c r="B8" s="26">
        <v>31654</v>
      </c>
      <c r="C8">
        <v>38</v>
      </c>
      <c r="D8" s="26">
        <v>42040</v>
      </c>
      <c r="E8" t="s">
        <v>42</v>
      </c>
      <c r="F8" t="s">
        <v>43</v>
      </c>
      <c r="G8" t="s">
        <v>74</v>
      </c>
      <c r="H8" t="s">
        <v>25</v>
      </c>
      <c r="I8" t="s">
        <v>47</v>
      </c>
      <c r="J8">
        <v>1050000</v>
      </c>
      <c r="K8">
        <v>105000</v>
      </c>
      <c r="L8">
        <v>1155000</v>
      </c>
      <c r="M8">
        <v>16</v>
      </c>
      <c r="N8">
        <v>4.5999999999999996</v>
      </c>
      <c r="O8">
        <v>98.5</v>
      </c>
      <c r="P8">
        <v>3</v>
      </c>
      <c r="Q8" t="s">
        <v>48</v>
      </c>
      <c r="R8" t="s">
        <v>31</v>
      </c>
      <c r="S8">
        <v>43871</v>
      </c>
      <c r="T8" t="s">
        <v>32</v>
      </c>
      <c r="U8" t="s">
        <v>342</v>
      </c>
      <c r="V8" t="s">
        <v>303</v>
      </c>
      <c r="W8" t="s">
        <v>453</v>
      </c>
      <c r="X8" t="s">
        <v>454</v>
      </c>
      <c r="Y8" t="s">
        <v>274</v>
      </c>
      <c r="Z8">
        <v>1155000</v>
      </c>
      <c r="AA8" t="s">
        <v>72</v>
      </c>
      <c r="AB8" t="s">
        <v>263</v>
      </c>
      <c r="AC8" t="s">
        <v>40</v>
      </c>
      <c r="AD8" t="s">
        <v>75</v>
      </c>
      <c r="AE8" t="s">
        <v>46</v>
      </c>
      <c r="AF8" t="s">
        <v>442</v>
      </c>
    </row>
    <row r="9" spans="1:32" x14ac:dyDescent="0.35">
      <c r="A9" t="s">
        <v>215</v>
      </c>
      <c r="B9" s="26">
        <v>32516</v>
      </c>
      <c r="C9">
        <v>35</v>
      </c>
      <c r="D9" s="26">
        <v>43329</v>
      </c>
      <c r="E9" t="s">
        <v>22</v>
      </c>
      <c r="F9" t="s">
        <v>65</v>
      </c>
      <c r="G9" t="s">
        <v>216</v>
      </c>
      <c r="H9" t="s">
        <v>25</v>
      </c>
      <c r="I9" t="s">
        <v>67</v>
      </c>
      <c r="J9">
        <v>1020000</v>
      </c>
      <c r="K9">
        <v>125000</v>
      </c>
      <c r="L9">
        <v>1145000</v>
      </c>
      <c r="M9">
        <v>12</v>
      </c>
      <c r="N9">
        <v>4.7</v>
      </c>
      <c r="O9">
        <v>98.6</v>
      </c>
      <c r="P9">
        <v>3</v>
      </c>
      <c r="Q9" t="s">
        <v>30</v>
      </c>
      <c r="R9" t="s">
        <v>31</v>
      </c>
      <c r="S9">
        <v>45163</v>
      </c>
      <c r="T9" t="s">
        <v>32</v>
      </c>
      <c r="U9" t="s">
        <v>402</v>
      </c>
      <c r="V9" t="s">
        <v>293</v>
      </c>
      <c r="W9" t="s">
        <v>278</v>
      </c>
      <c r="X9" t="s">
        <v>455</v>
      </c>
      <c r="Y9" t="s">
        <v>271</v>
      </c>
      <c r="Z9">
        <v>1316750</v>
      </c>
      <c r="AA9" t="s">
        <v>72</v>
      </c>
      <c r="AB9" t="s">
        <v>263</v>
      </c>
      <c r="AC9" t="s">
        <v>40</v>
      </c>
      <c r="AD9" t="s">
        <v>54</v>
      </c>
      <c r="AE9" t="s">
        <v>46</v>
      </c>
      <c r="AF9" t="s">
        <v>442</v>
      </c>
    </row>
    <row r="10" spans="1:32" x14ac:dyDescent="0.35">
      <c r="A10" t="s">
        <v>159</v>
      </c>
      <c r="B10" s="26">
        <v>31537</v>
      </c>
      <c r="C10">
        <v>38</v>
      </c>
      <c r="D10" s="26">
        <v>42383</v>
      </c>
      <c r="E10" t="s">
        <v>69</v>
      </c>
      <c r="F10" t="s">
        <v>43</v>
      </c>
      <c r="G10" t="s">
        <v>160</v>
      </c>
      <c r="H10" t="s">
        <v>25</v>
      </c>
      <c r="I10" t="s">
        <v>47</v>
      </c>
      <c r="J10">
        <v>980000</v>
      </c>
      <c r="K10">
        <v>98000</v>
      </c>
      <c r="L10">
        <v>1078000</v>
      </c>
      <c r="M10">
        <v>16</v>
      </c>
      <c r="N10">
        <v>4.5</v>
      </c>
      <c r="O10">
        <v>98.2</v>
      </c>
      <c r="P10">
        <v>3</v>
      </c>
      <c r="Q10" t="s">
        <v>48</v>
      </c>
      <c r="R10" t="s">
        <v>31</v>
      </c>
      <c r="S10">
        <v>44216</v>
      </c>
      <c r="T10" t="s">
        <v>32</v>
      </c>
      <c r="U10" t="s">
        <v>374</v>
      </c>
      <c r="V10" t="s">
        <v>291</v>
      </c>
      <c r="W10" t="s">
        <v>456</v>
      </c>
      <c r="X10" t="s">
        <v>457</v>
      </c>
      <c r="Y10" t="s">
        <v>274</v>
      </c>
      <c r="Z10">
        <v>1078000</v>
      </c>
      <c r="AA10" t="s">
        <v>72</v>
      </c>
      <c r="AB10" t="s">
        <v>263</v>
      </c>
      <c r="AC10" t="s">
        <v>40</v>
      </c>
      <c r="AD10" t="s">
        <v>75</v>
      </c>
      <c r="AE10" t="s">
        <v>46</v>
      </c>
      <c r="AF10" t="s">
        <v>442</v>
      </c>
    </row>
    <row r="11" spans="1:32" x14ac:dyDescent="0.35">
      <c r="A11" t="s">
        <v>211</v>
      </c>
      <c r="B11" s="26">
        <v>32276</v>
      </c>
      <c r="C11">
        <v>36</v>
      </c>
      <c r="D11" s="26">
        <v>43053</v>
      </c>
      <c r="E11" t="s">
        <v>34</v>
      </c>
      <c r="F11" t="s">
        <v>23</v>
      </c>
      <c r="G11" t="s">
        <v>212</v>
      </c>
      <c r="H11" t="s">
        <v>25</v>
      </c>
      <c r="I11" t="s">
        <v>28</v>
      </c>
      <c r="J11">
        <v>980000</v>
      </c>
      <c r="K11">
        <v>98000</v>
      </c>
      <c r="L11">
        <v>1078000</v>
      </c>
      <c r="M11">
        <v>13</v>
      </c>
      <c r="N11">
        <v>4.5999999999999996</v>
      </c>
      <c r="O11">
        <v>98.4</v>
      </c>
      <c r="P11">
        <v>4</v>
      </c>
      <c r="Q11" t="s">
        <v>30</v>
      </c>
      <c r="R11" t="s">
        <v>31</v>
      </c>
      <c r="S11">
        <v>44885</v>
      </c>
      <c r="T11" t="s">
        <v>32</v>
      </c>
      <c r="U11" t="s">
        <v>400</v>
      </c>
      <c r="V11" t="s">
        <v>288</v>
      </c>
      <c r="W11" t="s">
        <v>458</v>
      </c>
      <c r="X11" t="s">
        <v>459</v>
      </c>
      <c r="Y11" t="s">
        <v>269</v>
      </c>
      <c r="Z11">
        <v>1078000</v>
      </c>
      <c r="AA11" t="s">
        <v>72</v>
      </c>
      <c r="AB11" t="s">
        <v>263</v>
      </c>
      <c r="AC11" t="s">
        <v>40</v>
      </c>
      <c r="AD11" t="s">
        <v>37</v>
      </c>
      <c r="AE11" t="s">
        <v>38</v>
      </c>
      <c r="AF11" t="s">
        <v>442</v>
      </c>
    </row>
    <row r="12" spans="1:32" x14ac:dyDescent="0.35">
      <c r="A12" t="s">
        <v>107</v>
      </c>
      <c r="B12" s="26">
        <v>33206</v>
      </c>
      <c r="C12">
        <v>34</v>
      </c>
      <c r="D12" s="26">
        <v>43544</v>
      </c>
      <c r="E12" t="s">
        <v>22</v>
      </c>
      <c r="F12" t="s">
        <v>65</v>
      </c>
      <c r="G12" t="s">
        <v>108</v>
      </c>
      <c r="H12" t="s">
        <v>25</v>
      </c>
      <c r="I12" t="s">
        <v>67</v>
      </c>
      <c r="J12">
        <v>950000</v>
      </c>
      <c r="K12">
        <v>115000</v>
      </c>
      <c r="L12">
        <v>1065000</v>
      </c>
      <c r="M12">
        <v>10</v>
      </c>
      <c r="N12">
        <v>4.5</v>
      </c>
      <c r="O12">
        <v>97.8</v>
      </c>
      <c r="P12">
        <v>2</v>
      </c>
      <c r="Q12" t="s">
        <v>30</v>
      </c>
      <c r="R12" t="s">
        <v>31</v>
      </c>
      <c r="S12">
        <v>44995</v>
      </c>
      <c r="T12" t="s">
        <v>32</v>
      </c>
      <c r="U12" t="s">
        <v>348</v>
      </c>
      <c r="V12" t="s">
        <v>309</v>
      </c>
      <c r="W12" t="s">
        <v>460</v>
      </c>
      <c r="X12" t="s">
        <v>461</v>
      </c>
      <c r="Y12" t="s">
        <v>271</v>
      </c>
      <c r="Z12">
        <v>1224750</v>
      </c>
      <c r="AA12" t="s">
        <v>72</v>
      </c>
      <c r="AB12" t="s">
        <v>263</v>
      </c>
      <c r="AC12" t="s">
        <v>40</v>
      </c>
      <c r="AD12" t="s">
        <v>54</v>
      </c>
      <c r="AE12" t="s">
        <v>46</v>
      </c>
      <c r="AF12" t="s">
        <v>462</v>
      </c>
    </row>
    <row r="13" spans="1:32" x14ac:dyDescent="0.35">
      <c r="A13" t="s">
        <v>179</v>
      </c>
      <c r="B13" s="26">
        <v>32504</v>
      </c>
      <c r="C13">
        <v>36</v>
      </c>
      <c r="D13" s="26">
        <v>42954</v>
      </c>
      <c r="E13" t="s">
        <v>42</v>
      </c>
      <c r="F13" t="s">
        <v>65</v>
      </c>
      <c r="G13" t="s">
        <v>180</v>
      </c>
      <c r="H13" t="s">
        <v>25</v>
      </c>
      <c r="I13" t="s">
        <v>67</v>
      </c>
      <c r="J13">
        <v>940000</v>
      </c>
      <c r="K13">
        <v>112000</v>
      </c>
      <c r="L13">
        <v>1052000</v>
      </c>
      <c r="M13">
        <v>13</v>
      </c>
      <c r="N13">
        <v>4.5</v>
      </c>
      <c r="O13">
        <v>98.1</v>
      </c>
      <c r="P13">
        <v>3</v>
      </c>
      <c r="Q13" t="s">
        <v>30</v>
      </c>
      <c r="R13" t="s">
        <v>31</v>
      </c>
      <c r="S13">
        <v>44788</v>
      </c>
      <c r="T13" t="s">
        <v>32</v>
      </c>
      <c r="U13" t="s">
        <v>384</v>
      </c>
      <c r="V13" t="s">
        <v>301</v>
      </c>
      <c r="W13" t="s">
        <v>463</v>
      </c>
      <c r="X13" t="s">
        <v>464</v>
      </c>
      <c r="Y13" t="s">
        <v>271</v>
      </c>
      <c r="Z13">
        <v>1209800</v>
      </c>
      <c r="AA13" t="s">
        <v>72</v>
      </c>
      <c r="AB13" t="s">
        <v>263</v>
      </c>
      <c r="AC13" t="s">
        <v>29</v>
      </c>
      <c r="AD13" t="s">
        <v>37</v>
      </c>
      <c r="AE13" t="s">
        <v>38</v>
      </c>
      <c r="AF13" t="s">
        <v>442</v>
      </c>
    </row>
    <row r="14" spans="1:32" x14ac:dyDescent="0.35">
      <c r="A14" t="s">
        <v>33</v>
      </c>
      <c r="B14" s="26">
        <v>33076</v>
      </c>
      <c r="C14">
        <v>34</v>
      </c>
      <c r="D14" s="26">
        <v>43631</v>
      </c>
      <c r="E14" t="s">
        <v>34</v>
      </c>
      <c r="F14" t="s">
        <v>35</v>
      </c>
      <c r="G14" t="s">
        <v>36</v>
      </c>
      <c r="H14" t="s">
        <v>25</v>
      </c>
      <c r="I14" t="s">
        <v>39</v>
      </c>
      <c r="J14">
        <v>950000</v>
      </c>
      <c r="K14">
        <v>95000</v>
      </c>
      <c r="L14">
        <v>1045000</v>
      </c>
      <c r="M14">
        <v>10</v>
      </c>
      <c r="N14">
        <v>4.3</v>
      </c>
      <c r="O14">
        <v>98.2</v>
      </c>
      <c r="P14">
        <v>2</v>
      </c>
      <c r="Q14" t="s">
        <v>30</v>
      </c>
      <c r="R14" t="s">
        <v>31</v>
      </c>
      <c r="S14">
        <v>45087</v>
      </c>
      <c r="T14" t="s">
        <v>32</v>
      </c>
      <c r="U14" t="s">
        <v>335</v>
      </c>
      <c r="V14" t="s">
        <v>296</v>
      </c>
      <c r="W14" t="s">
        <v>465</v>
      </c>
      <c r="X14" t="s">
        <v>466</v>
      </c>
      <c r="Y14" t="s">
        <v>270</v>
      </c>
      <c r="Z14">
        <v>1045000</v>
      </c>
      <c r="AA14" t="s">
        <v>72</v>
      </c>
      <c r="AB14" t="s">
        <v>264</v>
      </c>
      <c r="AC14" t="s">
        <v>29</v>
      </c>
      <c r="AD14" t="s">
        <v>37</v>
      </c>
      <c r="AE14" t="s">
        <v>38</v>
      </c>
      <c r="AF14" t="s">
        <v>462</v>
      </c>
    </row>
    <row r="15" spans="1:32" x14ac:dyDescent="0.35">
      <c r="A15" t="s">
        <v>241</v>
      </c>
      <c r="B15" s="26">
        <v>34168</v>
      </c>
      <c r="C15">
        <v>31</v>
      </c>
      <c r="D15" s="26">
        <v>44462</v>
      </c>
      <c r="E15" t="s">
        <v>22</v>
      </c>
      <c r="F15" t="s">
        <v>23</v>
      </c>
      <c r="G15" t="s">
        <v>242</v>
      </c>
      <c r="H15" t="s">
        <v>25</v>
      </c>
      <c r="I15" t="s">
        <v>28</v>
      </c>
      <c r="J15">
        <v>950000</v>
      </c>
      <c r="K15">
        <v>95000</v>
      </c>
      <c r="L15">
        <v>1045000</v>
      </c>
      <c r="M15">
        <v>6</v>
      </c>
      <c r="N15">
        <v>4.5999999999999996</v>
      </c>
      <c r="O15">
        <v>98.3</v>
      </c>
      <c r="P15">
        <v>4</v>
      </c>
      <c r="Q15" t="s">
        <v>30</v>
      </c>
      <c r="R15" t="s">
        <v>31</v>
      </c>
      <c r="S15" t="s">
        <v>50</v>
      </c>
      <c r="T15" t="s">
        <v>32</v>
      </c>
      <c r="U15" t="s">
        <v>341</v>
      </c>
      <c r="V15" t="s">
        <v>291</v>
      </c>
      <c r="W15" t="s">
        <v>467</v>
      </c>
      <c r="X15" t="s">
        <v>468</v>
      </c>
      <c r="Y15" t="s">
        <v>269</v>
      </c>
      <c r="Z15">
        <v>1045000</v>
      </c>
      <c r="AA15" t="s">
        <v>72</v>
      </c>
      <c r="AB15" t="s">
        <v>264</v>
      </c>
      <c r="AC15" t="s">
        <v>29</v>
      </c>
      <c r="AD15" t="s">
        <v>45</v>
      </c>
      <c r="AE15" t="s">
        <v>46</v>
      </c>
      <c r="AF15" t="s">
        <v>462</v>
      </c>
    </row>
    <row r="16" spans="1:32" x14ac:dyDescent="0.35">
      <c r="A16" t="s">
        <v>129</v>
      </c>
      <c r="B16" s="26">
        <v>33490</v>
      </c>
      <c r="C16">
        <v>33</v>
      </c>
      <c r="D16" s="26">
        <v>43851</v>
      </c>
      <c r="E16" t="s">
        <v>42</v>
      </c>
      <c r="F16" t="s">
        <v>52</v>
      </c>
      <c r="G16" t="s">
        <v>130</v>
      </c>
      <c r="H16" t="s">
        <v>25</v>
      </c>
      <c r="I16" t="s">
        <v>55</v>
      </c>
      <c r="J16">
        <v>920000</v>
      </c>
      <c r="K16">
        <v>95000</v>
      </c>
      <c r="L16">
        <v>1015000</v>
      </c>
      <c r="M16">
        <v>9</v>
      </c>
      <c r="N16">
        <v>4.5999999999999996</v>
      </c>
      <c r="O16">
        <v>98.7</v>
      </c>
      <c r="P16">
        <v>3</v>
      </c>
      <c r="Q16" t="s">
        <v>30</v>
      </c>
      <c r="R16" t="s">
        <v>31</v>
      </c>
      <c r="S16" t="s">
        <v>50</v>
      </c>
      <c r="T16" t="s">
        <v>32</v>
      </c>
      <c r="U16" t="s">
        <v>359</v>
      </c>
      <c r="V16" t="s">
        <v>319</v>
      </c>
      <c r="W16" t="s">
        <v>469</v>
      </c>
      <c r="X16" t="s">
        <v>470</v>
      </c>
      <c r="Y16" t="s">
        <v>272</v>
      </c>
      <c r="Z16">
        <v>1015000</v>
      </c>
      <c r="AA16" t="s">
        <v>72</v>
      </c>
      <c r="AB16" t="s">
        <v>264</v>
      </c>
      <c r="AC16" t="s">
        <v>29</v>
      </c>
      <c r="AD16" t="s">
        <v>60</v>
      </c>
      <c r="AE16" t="s">
        <v>27</v>
      </c>
      <c r="AF16" t="s">
        <v>442</v>
      </c>
    </row>
    <row r="17" spans="1:32" x14ac:dyDescent="0.35">
      <c r="A17" t="s">
        <v>78</v>
      </c>
      <c r="B17" s="26">
        <v>30684</v>
      </c>
      <c r="C17">
        <v>40</v>
      </c>
      <c r="D17" s="26">
        <v>41988</v>
      </c>
      <c r="E17" t="s">
        <v>69</v>
      </c>
      <c r="F17" t="s">
        <v>23</v>
      </c>
      <c r="G17" t="s">
        <v>79</v>
      </c>
      <c r="H17" t="s">
        <v>25</v>
      </c>
      <c r="I17" t="s">
        <v>28</v>
      </c>
      <c r="J17">
        <v>920000</v>
      </c>
      <c r="K17">
        <v>92000</v>
      </c>
      <c r="L17">
        <v>1012000</v>
      </c>
      <c r="M17">
        <v>18</v>
      </c>
      <c r="N17">
        <v>4.4000000000000004</v>
      </c>
      <c r="O17">
        <v>97.3</v>
      </c>
      <c r="P17">
        <v>4</v>
      </c>
      <c r="Q17" t="s">
        <v>48</v>
      </c>
      <c r="R17" t="s">
        <v>31</v>
      </c>
      <c r="S17">
        <v>43819</v>
      </c>
      <c r="T17" t="s">
        <v>32</v>
      </c>
      <c r="U17" t="s">
        <v>324</v>
      </c>
      <c r="V17" t="s">
        <v>285</v>
      </c>
      <c r="W17" t="s">
        <v>471</v>
      </c>
      <c r="X17" t="s">
        <v>472</v>
      </c>
      <c r="Y17" t="s">
        <v>269</v>
      </c>
      <c r="Z17">
        <v>1012000</v>
      </c>
      <c r="AA17" t="s">
        <v>72</v>
      </c>
      <c r="AB17" t="s">
        <v>263</v>
      </c>
      <c r="AC17" t="s">
        <v>29</v>
      </c>
      <c r="AD17" t="s">
        <v>80</v>
      </c>
      <c r="AE17" t="s">
        <v>38</v>
      </c>
      <c r="AF17" t="s">
        <v>442</v>
      </c>
    </row>
    <row r="18" spans="1:32" x14ac:dyDescent="0.35">
      <c r="A18" t="s">
        <v>175</v>
      </c>
      <c r="B18" s="26">
        <v>31479</v>
      </c>
      <c r="C18">
        <v>38</v>
      </c>
      <c r="D18" s="26">
        <v>42300</v>
      </c>
      <c r="E18" t="s">
        <v>22</v>
      </c>
      <c r="F18" t="s">
        <v>58</v>
      </c>
      <c r="G18" t="s">
        <v>176</v>
      </c>
      <c r="H18" t="s">
        <v>25</v>
      </c>
      <c r="I18" t="s">
        <v>61</v>
      </c>
      <c r="J18">
        <v>920000</v>
      </c>
      <c r="K18">
        <v>92000</v>
      </c>
      <c r="L18">
        <v>1012000</v>
      </c>
      <c r="M18">
        <v>17</v>
      </c>
      <c r="N18">
        <v>4.4000000000000004</v>
      </c>
      <c r="O18">
        <v>97.9</v>
      </c>
      <c r="P18">
        <v>3</v>
      </c>
      <c r="Q18" t="s">
        <v>48</v>
      </c>
      <c r="R18" t="s">
        <v>31</v>
      </c>
      <c r="S18">
        <v>44119</v>
      </c>
      <c r="T18" t="s">
        <v>32</v>
      </c>
      <c r="U18" t="s">
        <v>382</v>
      </c>
      <c r="V18" t="s">
        <v>308</v>
      </c>
      <c r="W18" t="s">
        <v>473</v>
      </c>
      <c r="X18" t="s">
        <v>474</v>
      </c>
      <c r="Y18" t="s">
        <v>273</v>
      </c>
      <c r="Z18">
        <v>1012000</v>
      </c>
      <c r="AA18" t="s">
        <v>72</v>
      </c>
      <c r="AB18" t="s">
        <v>263</v>
      </c>
      <c r="AC18" t="s">
        <v>40</v>
      </c>
      <c r="AD18" t="s">
        <v>75</v>
      </c>
      <c r="AE18" t="s">
        <v>46</v>
      </c>
      <c r="AF18" t="s">
        <v>442</v>
      </c>
    </row>
    <row r="19" spans="1:32" x14ac:dyDescent="0.35">
      <c r="A19" t="s">
        <v>243</v>
      </c>
      <c r="B19" s="26">
        <v>32080</v>
      </c>
      <c r="C19">
        <v>37</v>
      </c>
      <c r="D19" s="26">
        <v>42531</v>
      </c>
      <c r="E19" t="s">
        <v>69</v>
      </c>
      <c r="F19" t="s">
        <v>43</v>
      </c>
      <c r="G19" t="s">
        <v>244</v>
      </c>
      <c r="H19" t="s">
        <v>25</v>
      </c>
      <c r="I19" t="s">
        <v>47</v>
      </c>
      <c r="J19">
        <v>920000</v>
      </c>
      <c r="K19">
        <v>92000</v>
      </c>
      <c r="L19">
        <v>1012000</v>
      </c>
      <c r="M19">
        <v>15</v>
      </c>
      <c r="N19">
        <v>4.5</v>
      </c>
      <c r="O19">
        <v>98</v>
      </c>
      <c r="P19">
        <v>3</v>
      </c>
      <c r="Q19" t="s">
        <v>30</v>
      </c>
      <c r="R19" t="s">
        <v>31</v>
      </c>
      <c r="S19">
        <v>44367</v>
      </c>
      <c r="T19" t="s">
        <v>32</v>
      </c>
      <c r="U19" t="s">
        <v>409</v>
      </c>
      <c r="V19" t="s">
        <v>298</v>
      </c>
      <c r="W19" t="s">
        <v>475</v>
      </c>
      <c r="X19" t="s">
        <v>476</v>
      </c>
      <c r="Y19" t="s">
        <v>274</v>
      </c>
      <c r="Z19">
        <v>1012000</v>
      </c>
      <c r="AA19" t="s">
        <v>72</v>
      </c>
      <c r="AB19" t="s">
        <v>263</v>
      </c>
      <c r="AC19" t="s">
        <v>40</v>
      </c>
      <c r="AD19" t="s">
        <v>37</v>
      </c>
      <c r="AE19" t="s">
        <v>38</v>
      </c>
      <c r="AF19" t="s">
        <v>442</v>
      </c>
    </row>
    <row r="20" spans="1:32" x14ac:dyDescent="0.35">
      <c r="A20" t="s">
        <v>249</v>
      </c>
      <c r="B20" s="26">
        <v>33579</v>
      </c>
      <c r="C20">
        <v>33</v>
      </c>
      <c r="D20" s="26">
        <v>43758</v>
      </c>
      <c r="E20" t="s">
        <v>69</v>
      </c>
      <c r="F20" t="s">
        <v>23</v>
      </c>
      <c r="G20" t="s">
        <v>250</v>
      </c>
      <c r="H20" t="s">
        <v>25</v>
      </c>
      <c r="I20" t="s">
        <v>28</v>
      </c>
      <c r="J20">
        <v>920000</v>
      </c>
      <c r="K20">
        <v>92000</v>
      </c>
      <c r="L20">
        <v>1012000</v>
      </c>
      <c r="M20">
        <v>9</v>
      </c>
      <c r="N20">
        <v>4.5</v>
      </c>
      <c r="O20">
        <v>98.1</v>
      </c>
      <c r="P20">
        <v>4</v>
      </c>
      <c r="Q20" t="s">
        <v>30</v>
      </c>
      <c r="R20" t="s">
        <v>31</v>
      </c>
      <c r="S20">
        <v>45214</v>
      </c>
      <c r="T20" t="s">
        <v>32</v>
      </c>
      <c r="U20" t="s">
        <v>412</v>
      </c>
      <c r="V20" t="s">
        <v>303</v>
      </c>
      <c r="W20" t="s">
        <v>477</v>
      </c>
      <c r="X20" t="s">
        <v>478</v>
      </c>
      <c r="Y20" t="s">
        <v>269</v>
      </c>
      <c r="Z20">
        <v>1012000</v>
      </c>
      <c r="AA20" t="s">
        <v>72</v>
      </c>
      <c r="AB20" t="s">
        <v>264</v>
      </c>
      <c r="AC20" t="s">
        <v>40</v>
      </c>
      <c r="AD20" t="s">
        <v>80</v>
      </c>
      <c r="AE20" t="s">
        <v>38</v>
      </c>
      <c r="AF20" t="s">
        <v>442</v>
      </c>
    </row>
    <row r="21" spans="1:32" x14ac:dyDescent="0.35">
      <c r="A21" t="s">
        <v>221</v>
      </c>
      <c r="B21" s="26">
        <v>34530</v>
      </c>
      <c r="C21">
        <v>30</v>
      </c>
      <c r="D21" s="26">
        <v>44862</v>
      </c>
      <c r="E21" t="s">
        <v>22</v>
      </c>
      <c r="F21" t="s">
        <v>23</v>
      </c>
      <c r="G21" t="s">
        <v>222</v>
      </c>
      <c r="H21" t="s">
        <v>25</v>
      </c>
      <c r="I21" t="s">
        <v>28</v>
      </c>
      <c r="J21">
        <v>920000</v>
      </c>
      <c r="K21">
        <v>92000</v>
      </c>
      <c r="L21">
        <v>1012000</v>
      </c>
      <c r="M21">
        <v>5</v>
      </c>
      <c r="N21">
        <v>4.5</v>
      </c>
      <c r="O21">
        <v>97.8</v>
      </c>
      <c r="P21">
        <v>3</v>
      </c>
      <c r="Q21" t="s">
        <v>30</v>
      </c>
      <c r="R21" t="s">
        <v>31</v>
      </c>
      <c r="S21" t="s">
        <v>50</v>
      </c>
      <c r="T21" t="s">
        <v>32</v>
      </c>
      <c r="U21" t="s">
        <v>405</v>
      </c>
      <c r="V21" t="s">
        <v>287</v>
      </c>
      <c r="W21" t="s">
        <v>479</v>
      </c>
      <c r="X21" t="s">
        <v>480</v>
      </c>
      <c r="Y21" t="s">
        <v>269</v>
      </c>
      <c r="Z21">
        <v>1012000</v>
      </c>
      <c r="AA21" t="s">
        <v>72</v>
      </c>
      <c r="AB21" t="s">
        <v>264</v>
      </c>
      <c r="AC21" t="s">
        <v>40</v>
      </c>
      <c r="AD21" t="s">
        <v>80</v>
      </c>
      <c r="AE21" t="s">
        <v>38</v>
      </c>
      <c r="AF21" t="s">
        <v>462</v>
      </c>
    </row>
    <row r="22" spans="1:32" x14ac:dyDescent="0.35">
      <c r="A22" t="s">
        <v>155</v>
      </c>
      <c r="B22" s="26">
        <v>32199</v>
      </c>
      <c r="C22">
        <v>36</v>
      </c>
      <c r="D22" s="26">
        <v>42622</v>
      </c>
      <c r="E22" t="s">
        <v>69</v>
      </c>
      <c r="F22" t="s">
        <v>65</v>
      </c>
      <c r="G22" t="s">
        <v>156</v>
      </c>
      <c r="H22" t="s">
        <v>25</v>
      </c>
      <c r="I22" t="s">
        <v>67</v>
      </c>
      <c r="J22">
        <v>890000</v>
      </c>
      <c r="K22">
        <v>105000</v>
      </c>
      <c r="L22">
        <v>995000</v>
      </c>
      <c r="M22">
        <v>14</v>
      </c>
      <c r="N22">
        <v>4.4000000000000004</v>
      </c>
      <c r="O22">
        <v>97.5</v>
      </c>
      <c r="P22">
        <v>3</v>
      </c>
      <c r="Q22" t="s">
        <v>30</v>
      </c>
      <c r="R22" t="s">
        <v>31</v>
      </c>
      <c r="S22">
        <v>44459</v>
      </c>
      <c r="T22" t="s">
        <v>32</v>
      </c>
      <c r="U22" t="s">
        <v>372</v>
      </c>
      <c r="V22" t="s">
        <v>305</v>
      </c>
      <c r="W22" t="s">
        <v>481</v>
      </c>
      <c r="X22" t="s">
        <v>482</v>
      </c>
      <c r="Y22" t="s">
        <v>271</v>
      </c>
      <c r="Z22">
        <v>1144250</v>
      </c>
      <c r="AA22" t="s">
        <v>49</v>
      </c>
      <c r="AB22" t="s">
        <v>263</v>
      </c>
      <c r="AC22" t="s">
        <v>29</v>
      </c>
      <c r="AD22" t="s">
        <v>45</v>
      </c>
      <c r="AE22" t="s">
        <v>46</v>
      </c>
      <c r="AF22" t="s">
        <v>442</v>
      </c>
    </row>
    <row r="23" spans="1:32" x14ac:dyDescent="0.35">
      <c r="A23" t="s">
        <v>64</v>
      </c>
      <c r="B23" s="26">
        <v>32673</v>
      </c>
      <c r="C23">
        <v>35</v>
      </c>
      <c r="D23" s="26">
        <v>43434</v>
      </c>
      <c r="E23" t="s">
        <v>22</v>
      </c>
      <c r="F23" t="s">
        <v>65</v>
      </c>
      <c r="G23" t="s">
        <v>66</v>
      </c>
      <c r="H23" t="s">
        <v>25</v>
      </c>
      <c r="I23" t="s">
        <v>67</v>
      </c>
      <c r="J23">
        <v>880000</v>
      </c>
      <c r="K23">
        <v>110000</v>
      </c>
      <c r="L23">
        <v>990000</v>
      </c>
      <c r="M23">
        <v>11</v>
      </c>
      <c r="N23">
        <v>4.3</v>
      </c>
      <c r="O23">
        <v>96.7</v>
      </c>
      <c r="P23">
        <v>1</v>
      </c>
      <c r="Q23" t="s">
        <v>30</v>
      </c>
      <c r="R23" t="s">
        <v>49</v>
      </c>
      <c r="S23">
        <v>44880</v>
      </c>
      <c r="T23" t="s">
        <v>32</v>
      </c>
      <c r="U23" t="s">
        <v>340</v>
      </c>
      <c r="V23" t="s">
        <v>301</v>
      </c>
      <c r="W23" t="s">
        <v>483</v>
      </c>
      <c r="X23" t="s">
        <v>484</v>
      </c>
      <c r="Y23" t="s">
        <v>271</v>
      </c>
      <c r="Z23">
        <v>1138500</v>
      </c>
      <c r="AA23" t="s">
        <v>49</v>
      </c>
      <c r="AB23" t="s">
        <v>263</v>
      </c>
      <c r="AC23" t="s">
        <v>29</v>
      </c>
      <c r="AD23" t="s">
        <v>37</v>
      </c>
      <c r="AE23" t="s">
        <v>38</v>
      </c>
      <c r="AF23" t="s">
        <v>462</v>
      </c>
    </row>
    <row r="24" spans="1:32" x14ac:dyDescent="0.35">
      <c r="A24" t="s">
        <v>255</v>
      </c>
      <c r="B24" s="26">
        <v>32308</v>
      </c>
      <c r="C24">
        <v>36</v>
      </c>
      <c r="D24" s="26">
        <v>43048</v>
      </c>
      <c r="E24" t="s">
        <v>42</v>
      </c>
      <c r="F24" t="s">
        <v>43</v>
      </c>
      <c r="G24" t="s">
        <v>256</v>
      </c>
      <c r="H24" t="s">
        <v>25</v>
      </c>
      <c r="I24" t="s">
        <v>47</v>
      </c>
      <c r="J24">
        <v>890000</v>
      </c>
      <c r="K24">
        <v>88000</v>
      </c>
      <c r="L24">
        <v>978000</v>
      </c>
      <c r="M24">
        <v>13</v>
      </c>
      <c r="N24">
        <v>4.4000000000000004</v>
      </c>
      <c r="O24">
        <v>97.6</v>
      </c>
      <c r="P24">
        <v>3</v>
      </c>
      <c r="Q24" t="s">
        <v>30</v>
      </c>
      <c r="R24" t="s">
        <v>31</v>
      </c>
      <c r="S24">
        <v>44885</v>
      </c>
      <c r="T24" t="s">
        <v>32</v>
      </c>
      <c r="U24" t="s">
        <v>414</v>
      </c>
      <c r="V24" t="s">
        <v>296</v>
      </c>
      <c r="W24" t="s">
        <v>485</v>
      </c>
      <c r="X24" t="s">
        <v>486</v>
      </c>
      <c r="Y24" t="s">
        <v>274</v>
      </c>
      <c r="Z24">
        <v>978000</v>
      </c>
      <c r="AA24" t="s">
        <v>49</v>
      </c>
      <c r="AB24" t="s">
        <v>263</v>
      </c>
      <c r="AC24" t="s">
        <v>40</v>
      </c>
      <c r="AD24" t="s">
        <v>60</v>
      </c>
      <c r="AE24" t="s">
        <v>27</v>
      </c>
      <c r="AF24" t="s">
        <v>442</v>
      </c>
    </row>
    <row r="25" spans="1:32" x14ac:dyDescent="0.35">
      <c r="A25" t="s">
        <v>115</v>
      </c>
      <c r="B25" s="26">
        <v>32485</v>
      </c>
      <c r="D25" s="26">
        <v>42903</v>
      </c>
      <c r="E25" t="s">
        <v>34</v>
      </c>
      <c r="F25" t="s">
        <v>58</v>
      </c>
      <c r="G25" t="s">
        <v>116</v>
      </c>
      <c r="H25" t="s">
        <v>25</v>
      </c>
      <c r="I25" t="s">
        <v>61</v>
      </c>
      <c r="J25">
        <v>890000</v>
      </c>
      <c r="K25">
        <v>88000</v>
      </c>
      <c r="L25">
        <v>978000</v>
      </c>
      <c r="M25">
        <v>13</v>
      </c>
      <c r="N25">
        <v>4.3</v>
      </c>
      <c r="O25">
        <v>98</v>
      </c>
      <c r="P25">
        <v>3</v>
      </c>
      <c r="Q25" t="s">
        <v>30</v>
      </c>
      <c r="R25" t="s">
        <v>31</v>
      </c>
      <c r="S25">
        <v>44732</v>
      </c>
      <c r="T25" t="s">
        <v>32</v>
      </c>
      <c r="U25" t="s">
        <v>352</v>
      </c>
      <c r="V25" t="s">
        <v>313</v>
      </c>
      <c r="W25" t="s">
        <v>487</v>
      </c>
      <c r="X25" t="s">
        <v>488</v>
      </c>
      <c r="Y25" t="s">
        <v>273</v>
      </c>
      <c r="Z25">
        <v>978000</v>
      </c>
      <c r="AA25" t="s">
        <v>49</v>
      </c>
      <c r="AB25" t="s">
        <v>263</v>
      </c>
      <c r="AC25" t="s">
        <v>29</v>
      </c>
      <c r="AD25" t="s">
        <v>60</v>
      </c>
      <c r="AE25" t="s">
        <v>27</v>
      </c>
      <c r="AF25" t="s">
        <v>442</v>
      </c>
    </row>
    <row r="26" spans="1:32" x14ac:dyDescent="0.35">
      <c r="A26" t="s">
        <v>239</v>
      </c>
      <c r="B26" s="26">
        <v>32514</v>
      </c>
      <c r="C26">
        <v>35</v>
      </c>
      <c r="D26" s="26">
        <v>43084</v>
      </c>
      <c r="E26" t="s">
        <v>34</v>
      </c>
      <c r="F26" t="s">
        <v>65</v>
      </c>
      <c r="G26" t="s">
        <v>240</v>
      </c>
      <c r="H26" t="s">
        <v>25</v>
      </c>
      <c r="I26" t="s">
        <v>67</v>
      </c>
      <c r="J26">
        <v>870000</v>
      </c>
      <c r="K26">
        <v>98000</v>
      </c>
      <c r="L26">
        <v>968000</v>
      </c>
      <c r="M26">
        <v>12</v>
      </c>
      <c r="N26">
        <v>4.4000000000000004</v>
      </c>
      <c r="O26">
        <v>97.4</v>
      </c>
      <c r="P26">
        <v>2</v>
      </c>
      <c r="Q26" t="s">
        <v>30</v>
      </c>
      <c r="R26" t="s">
        <v>31</v>
      </c>
      <c r="S26">
        <v>44915</v>
      </c>
      <c r="T26" t="s">
        <v>32</v>
      </c>
      <c r="U26" t="s">
        <v>420</v>
      </c>
      <c r="V26" t="s">
        <v>311</v>
      </c>
      <c r="W26" t="s">
        <v>489</v>
      </c>
      <c r="X26" t="s">
        <v>490</v>
      </c>
      <c r="Y26" t="s">
        <v>271</v>
      </c>
      <c r="Z26">
        <v>1113200</v>
      </c>
      <c r="AA26" t="s">
        <v>49</v>
      </c>
      <c r="AB26" t="s">
        <v>263</v>
      </c>
      <c r="AC26" t="s">
        <v>40</v>
      </c>
      <c r="AD26" t="s">
        <v>60</v>
      </c>
      <c r="AE26" t="s">
        <v>27</v>
      </c>
      <c r="AF26" t="s">
        <v>462</v>
      </c>
    </row>
    <row r="27" spans="1:32" x14ac:dyDescent="0.35">
      <c r="A27" t="s">
        <v>131</v>
      </c>
      <c r="B27" s="26">
        <v>31471</v>
      </c>
      <c r="C27">
        <v>38</v>
      </c>
      <c r="D27" s="26">
        <v>42342</v>
      </c>
      <c r="E27" t="s">
        <v>22</v>
      </c>
      <c r="F27" t="s">
        <v>23</v>
      </c>
      <c r="G27" t="s">
        <v>132</v>
      </c>
      <c r="H27" t="s">
        <v>25</v>
      </c>
      <c r="I27" t="s">
        <v>28</v>
      </c>
      <c r="J27">
        <v>880000</v>
      </c>
      <c r="K27">
        <v>85000</v>
      </c>
      <c r="L27">
        <v>965000</v>
      </c>
      <c r="M27">
        <v>16</v>
      </c>
      <c r="N27">
        <v>4.4000000000000004</v>
      </c>
      <c r="O27">
        <v>97.4</v>
      </c>
      <c r="P27">
        <v>4</v>
      </c>
      <c r="Q27" t="s">
        <v>48</v>
      </c>
      <c r="R27" t="s">
        <v>31</v>
      </c>
      <c r="S27">
        <v>44180</v>
      </c>
      <c r="T27" t="s">
        <v>32</v>
      </c>
      <c r="U27" t="s">
        <v>360</v>
      </c>
      <c r="V27" t="s">
        <v>296</v>
      </c>
      <c r="W27" t="s">
        <v>491</v>
      </c>
      <c r="X27" t="s">
        <v>492</v>
      </c>
      <c r="Y27" t="s">
        <v>269</v>
      </c>
      <c r="Z27">
        <v>965000</v>
      </c>
      <c r="AA27" t="s">
        <v>49</v>
      </c>
      <c r="AB27" t="s">
        <v>263</v>
      </c>
      <c r="AC27" t="s">
        <v>29</v>
      </c>
      <c r="AD27" t="s">
        <v>45</v>
      </c>
      <c r="AE27" t="s">
        <v>46</v>
      </c>
      <c r="AF27" t="s">
        <v>442</v>
      </c>
    </row>
    <row r="28" spans="1:32" x14ac:dyDescent="0.35">
      <c r="A28" t="s">
        <v>229</v>
      </c>
      <c r="B28" s="26">
        <v>33453</v>
      </c>
      <c r="C28">
        <v>33</v>
      </c>
      <c r="D28" s="26">
        <v>43795</v>
      </c>
      <c r="E28" t="s">
        <v>22</v>
      </c>
      <c r="F28" t="s">
        <v>23</v>
      </c>
      <c r="G28" t="s">
        <v>230</v>
      </c>
      <c r="H28" t="s">
        <v>25</v>
      </c>
      <c r="I28" t="s">
        <v>28</v>
      </c>
      <c r="J28">
        <v>880000</v>
      </c>
      <c r="K28">
        <v>85000</v>
      </c>
      <c r="L28">
        <v>965000</v>
      </c>
      <c r="M28">
        <v>9</v>
      </c>
      <c r="N28">
        <v>4.4000000000000004</v>
      </c>
      <c r="O28">
        <v>97.6</v>
      </c>
      <c r="P28">
        <v>3</v>
      </c>
      <c r="Q28" t="s">
        <v>30</v>
      </c>
      <c r="R28" t="s">
        <v>31</v>
      </c>
      <c r="S28" t="s">
        <v>50</v>
      </c>
      <c r="T28" t="s">
        <v>32</v>
      </c>
      <c r="U28" t="s">
        <v>351</v>
      </c>
      <c r="V28" t="s">
        <v>294</v>
      </c>
      <c r="W28" t="s">
        <v>493</v>
      </c>
      <c r="X28" t="s">
        <v>494</v>
      </c>
      <c r="Y28" t="s">
        <v>269</v>
      </c>
      <c r="Z28">
        <v>965000</v>
      </c>
      <c r="AA28" t="s">
        <v>49</v>
      </c>
      <c r="AB28" t="s">
        <v>264</v>
      </c>
      <c r="AC28" t="s">
        <v>29</v>
      </c>
      <c r="AD28" t="s">
        <v>45</v>
      </c>
      <c r="AE28" t="s">
        <v>46</v>
      </c>
      <c r="AF28" t="s">
        <v>442</v>
      </c>
    </row>
    <row r="29" spans="1:32" x14ac:dyDescent="0.35">
      <c r="A29" t="s">
        <v>119</v>
      </c>
      <c r="B29" s="26">
        <v>31837</v>
      </c>
      <c r="C29">
        <v>37</v>
      </c>
      <c r="D29" s="26">
        <v>42680</v>
      </c>
      <c r="E29" t="s">
        <v>22</v>
      </c>
      <c r="F29" t="s">
        <v>65</v>
      </c>
      <c r="G29" t="s">
        <v>120</v>
      </c>
      <c r="H29" t="s">
        <v>25</v>
      </c>
      <c r="I29" t="s">
        <v>67</v>
      </c>
      <c r="J29">
        <v>860000</v>
      </c>
      <c r="K29">
        <v>98000</v>
      </c>
      <c r="L29">
        <v>958000</v>
      </c>
      <c r="M29">
        <v>14</v>
      </c>
      <c r="N29">
        <v>4.4000000000000004</v>
      </c>
      <c r="O29">
        <v>96.9</v>
      </c>
      <c r="P29">
        <v>2</v>
      </c>
      <c r="Q29" t="s">
        <v>30</v>
      </c>
      <c r="R29" t="s">
        <v>31</v>
      </c>
      <c r="S29">
        <v>44515</v>
      </c>
      <c r="T29" t="s">
        <v>32</v>
      </c>
      <c r="U29" t="s">
        <v>354</v>
      </c>
      <c r="V29" t="s">
        <v>315</v>
      </c>
      <c r="W29" t="s">
        <v>495</v>
      </c>
      <c r="X29" t="s">
        <v>496</v>
      </c>
      <c r="Y29" t="s">
        <v>271</v>
      </c>
      <c r="Z29">
        <v>1101700</v>
      </c>
      <c r="AA29" t="s">
        <v>49</v>
      </c>
      <c r="AB29" t="s">
        <v>263</v>
      </c>
      <c r="AC29" t="s">
        <v>29</v>
      </c>
      <c r="AD29" t="s">
        <v>45</v>
      </c>
      <c r="AE29" t="s">
        <v>46</v>
      </c>
      <c r="AF29" t="s">
        <v>462</v>
      </c>
    </row>
    <row r="30" spans="1:32" x14ac:dyDescent="0.35">
      <c r="A30" t="s">
        <v>91</v>
      </c>
      <c r="B30" s="26">
        <v>31871</v>
      </c>
      <c r="C30">
        <v>37</v>
      </c>
      <c r="D30" s="26">
        <v>42655</v>
      </c>
      <c r="E30" t="s">
        <v>42</v>
      </c>
      <c r="F30" t="s">
        <v>58</v>
      </c>
      <c r="G30" t="s">
        <v>92</v>
      </c>
      <c r="H30" t="s">
        <v>25</v>
      </c>
      <c r="I30" t="s">
        <v>61</v>
      </c>
      <c r="J30">
        <v>870000</v>
      </c>
      <c r="K30">
        <v>85000</v>
      </c>
      <c r="L30">
        <v>955000</v>
      </c>
      <c r="M30">
        <v>14</v>
      </c>
      <c r="N30">
        <v>4.3</v>
      </c>
      <c r="O30">
        <v>98.1</v>
      </c>
      <c r="P30">
        <v>3</v>
      </c>
      <c r="Q30" t="s">
        <v>30</v>
      </c>
      <c r="R30" t="s">
        <v>31</v>
      </c>
      <c r="S30">
        <v>44489</v>
      </c>
      <c r="T30" t="s">
        <v>32</v>
      </c>
      <c r="U30" t="s">
        <v>330</v>
      </c>
      <c r="V30" t="s">
        <v>291</v>
      </c>
      <c r="W30" t="s">
        <v>497</v>
      </c>
      <c r="X30" t="s">
        <v>498</v>
      </c>
      <c r="Y30" t="s">
        <v>273</v>
      </c>
      <c r="Z30">
        <v>955000</v>
      </c>
      <c r="AA30" t="s">
        <v>49</v>
      </c>
      <c r="AB30" t="s">
        <v>263</v>
      </c>
      <c r="AC30" t="s">
        <v>29</v>
      </c>
      <c r="AD30" t="s">
        <v>75</v>
      </c>
      <c r="AE30" t="s">
        <v>46</v>
      </c>
      <c r="AF30" t="s">
        <v>442</v>
      </c>
    </row>
    <row r="31" spans="1:32" x14ac:dyDescent="0.35">
      <c r="A31" t="s">
        <v>219</v>
      </c>
      <c r="B31" s="26">
        <v>31718</v>
      </c>
      <c r="C31">
        <v>38</v>
      </c>
      <c r="D31" s="26">
        <v>42515</v>
      </c>
      <c r="E31" t="s">
        <v>34</v>
      </c>
      <c r="F31" t="s">
        <v>43</v>
      </c>
      <c r="G31" t="s">
        <v>220</v>
      </c>
      <c r="H31" t="s">
        <v>25</v>
      </c>
      <c r="I31" t="s">
        <v>47</v>
      </c>
      <c r="J31">
        <v>860000</v>
      </c>
      <c r="K31">
        <v>82000</v>
      </c>
      <c r="L31">
        <v>942000</v>
      </c>
      <c r="M31">
        <v>16</v>
      </c>
      <c r="N31">
        <v>4.3</v>
      </c>
      <c r="O31">
        <v>97.1</v>
      </c>
      <c r="P31">
        <v>3</v>
      </c>
      <c r="Q31" t="s">
        <v>48</v>
      </c>
      <c r="R31" t="s">
        <v>31</v>
      </c>
      <c r="S31">
        <v>44326</v>
      </c>
      <c r="T31" t="s">
        <v>32</v>
      </c>
      <c r="U31" t="s">
        <v>404</v>
      </c>
      <c r="V31" t="s">
        <v>300</v>
      </c>
      <c r="W31" t="s">
        <v>499</v>
      </c>
      <c r="X31" t="s">
        <v>500</v>
      </c>
      <c r="Y31" t="s">
        <v>274</v>
      </c>
      <c r="Z31">
        <v>942000</v>
      </c>
      <c r="AA31" t="s">
        <v>49</v>
      </c>
      <c r="AB31" t="s">
        <v>263</v>
      </c>
      <c r="AC31" t="s">
        <v>29</v>
      </c>
      <c r="AD31" t="s">
        <v>26</v>
      </c>
      <c r="AE31" t="s">
        <v>27</v>
      </c>
      <c r="AF31" t="s">
        <v>442</v>
      </c>
    </row>
    <row r="32" spans="1:32" x14ac:dyDescent="0.35">
      <c r="A32" t="s">
        <v>21</v>
      </c>
      <c r="B32" s="26">
        <v>31121</v>
      </c>
      <c r="C32">
        <v>39</v>
      </c>
      <c r="D32" s="26">
        <v>43191</v>
      </c>
      <c r="E32" t="s">
        <v>22</v>
      </c>
      <c r="F32" t="s">
        <v>23</v>
      </c>
      <c r="G32" t="s">
        <v>24</v>
      </c>
      <c r="H32" t="s">
        <v>25</v>
      </c>
      <c r="I32" t="s">
        <v>28</v>
      </c>
      <c r="J32">
        <v>850000</v>
      </c>
      <c r="K32">
        <v>85000</v>
      </c>
      <c r="L32">
        <v>935000</v>
      </c>
      <c r="M32">
        <v>12</v>
      </c>
      <c r="N32">
        <v>4.2</v>
      </c>
      <c r="O32">
        <v>96.5</v>
      </c>
      <c r="P32">
        <v>3</v>
      </c>
      <c r="Q32" t="s">
        <v>30</v>
      </c>
      <c r="R32" t="s">
        <v>31</v>
      </c>
      <c r="S32">
        <v>44666</v>
      </c>
      <c r="T32" t="s">
        <v>32</v>
      </c>
      <c r="U32" t="s">
        <v>334</v>
      </c>
      <c r="V32" t="s">
        <v>295</v>
      </c>
      <c r="W32" t="s">
        <v>501</v>
      </c>
      <c r="X32" t="s">
        <v>502</v>
      </c>
      <c r="Y32" t="s">
        <v>269</v>
      </c>
      <c r="Z32">
        <v>935000</v>
      </c>
      <c r="AA32" t="s">
        <v>49</v>
      </c>
      <c r="AB32" t="s">
        <v>263</v>
      </c>
      <c r="AC32" t="s">
        <v>29</v>
      </c>
      <c r="AD32" t="s">
        <v>26</v>
      </c>
      <c r="AE32" t="s">
        <v>27</v>
      </c>
      <c r="AF32" t="s">
        <v>442</v>
      </c>
    </row>
    <row r="33" spans="1:32" x14ac:dyDescent="0.35">
      <c r="A33" t="s">
        <v>235</v>
      </c>
      <c r="B33" s="26">
        <v>31727</v>
      </c>
      <c r="C33">
        <v>38</v>
      </c>
      <c r="D33" s="26">
        <v>42464</v>
      </c>
      <c r="E33" t="s">
        <v>22</v>
      </c>
      <c r="F33" t="s">
        <v>58</v>
      </c>
      <c r="G33" t="s">
        <v>236</v>
      </c>
      <c r="H33" t="s">
        <v>25</v>
      </c>
      <c r="I33" t="s">
        <v>61</v>
      </c>
      <c r="J33">
        <v>850000</v>
      </c>
      <c r="K33">
        <v>82000</v>
      </c>
      <c r="L33">
        <v>932000</v>
      </c>
      <c r="M33">
        <v>16</v>
      </c>
      <c r="N33">
        <v>4.3</v>
      </c>
      <c r="O33">
        <v>97.7</v>
      </c>
      <c r="P33">
        <v>3</v>
      </c>
      <c r="Q33" t="s">
        <v>48</v>
      </c>
      <c r="R33" t="s">
        <v>31</v>
      </c>
      <c r="S33">
        <v>44301</v>
      </c>
      <c r="T33" t="s">
        <v>32</v>
      </c>
      <c r="U33" t="s">
        <v>418</v>
      </c>
      <c r="V33" t="s">
        <v>310</v>
      </c>
      <c r="W33" t="s">
        <v>503</v>
      </c>
      <c r="X33" t="s">
        <v>504</v>
      </c>
      <c r="Y33" t="s">
        <v>273</v>
      </c>
      <c r="Z33">
        <v>932000</v>
      </c>
      <c r="AA33" t="s">
        <v>49</v>
      </c>
      <c r="AB33" t="s">
        <v>263</v>
      </c>
      <c r="AC33" t="s">
        <v>29</v>
      </c>
      <c r="AD33" t="s">
        <v>80</v>
      </c>
      <c r="AE33" t="s">
        <v>38</v>
      </c>
      <c r="AF33" t="s">
        <v>442</v>
      </c>
    </row>
    <row r="34" spans="1:32" x14ac:dyDescent="0.35">
      <c r="A34" t="s">
        <v>127</v>
      </c>
      <c r="B34" s="26">
        <v>32706</v>
      </c>
      <c r="C34">
        <v>35</v>
      </c>
      <c r="D34" s="26">
        <v>43233</v>
      </c>
      <c r="E34" t="s">
        <v>34</v>
      </c>
      <c r="F34" t="s">
        <v>58</v>
      </c>
      <c r="G34" t="s">
        <v>128</v>
      </c>
      <c r="H34" t="s">
        <v>25</v>
      </c>
      <c r="I34" t="s">
        <v>61</v>
      </c>
      <c r="J34">
        <v>850000</v>
      </c>
      <c r="K34">
        <v>82000</v>
      </c>
      <c r="L34">
        <v>932000</v>
      </c>
      <c r="M34">
        <v>12</v>
      </c>
      <c r="N34">
        <v>4.3</v>
      </c>
      <c r="O34">
        <v>97.6</v>
      </c>
      <c r="P34">
        <v>3</v>
      </c>
      <c r="Q34" t="s">
        <v>30</v>
      </c>
      <c r="R34" t="s">
        <v>31</v>
      </c>
      <c r="S34">
        <v>45066</v>
      </c>
      <c r="T34" t="s">
        <v>32</v>
      </c>
      <c r="U34" t="s">
        <v>358</v>
      </c>
      <c r="V34" t="s">
        <v>318</v>
      </c>
      <c r="W34" t="s">
        <v>505</v>
      </c>
      <c r="X34" t="s">
        <v>506</v>
      </c>
      <c r="Y34" t="s">
        <v>273</v>
      </c>
      <c r="Z34">
        <v>932000</v>
      </c>
      <c r="AA34" t="s">
        <v>49</v>
      </c>
      <c r="AB34" t="s">
        <v>263</v>
      </c>
      <c r="AC34" t="s">
        <v>29</v>
      </c>
      <c r="AD34" t="s">
        <v>75</v>
      </c>
      <c r="AE34" t="s">
        <v>46</v>
      </c>
      <c r="AF34" t="s">
        <v>442</v>
      </c>
    </row>
    <row r="35" spans="1:32" x14ac:dyDescent="0.35">
      <c r="A35" t="s">
        <v>247</v>
      </c>
      <c r="B35" s="26">
        <v>33110</v>
      </c>
      <c r="C35">
        <v>34</v>
      </c>
      <c r="D35" s="26">
        <v>43538</v>
      </c>
      <c r="E35" t="s">
        <v>22</v>
      </c>
      <c r="F35" t="s">
        <v>52</v>
      </c>
      <c r="G35" t="s">
        <v>248</v>
      </c>
      <c r="H35" t="s">
        <v>25</v>
      </c>
      <c r="I35" t="s">
        <v>55</v>
      </c>
      <c r="J35">
        <v>850000</v>
      </c>
      <c r="K35">
        <v>82000</v>
      </c>
      <c r="L35">
        <v>932000</v>
      </c>
      <c r="M35">
        <v>10</v>
      </c>
      <c r="N35">
        <v>4.4000000000000004</v>
      </c>
      <c r="O35">
        <v>97.8</v>
      </c>
      <c r="P35">
        <v>3</v>
      </c>
      <c r="Q35" t="s">
        <v>30</v>
      </c>
      <c r="R35" t="s">
        <v>31</v>
      </c>
      <c r="S35" t="s">
        <v>50</v>
      </c>
      <c r="T35" t="s">
        <v>32</v>
      </c>
      <c r="U35" t="s">
        <v>411</v>
      </c>
      <c r="V35" t="s">
        <v>301</v>
      </c>
      <c r="W35" t="s">
        <v>507</v>
      </c>
      <c r="X35" t="s">
        <v>508</v>
      </c>
      <c r="Y35" t="s">
        <v>272</v>
      </c>
      <c r="Z35">
        <v>932000</v>
      </c>
      <c r="AA35" t="s">
        <v>49</v>
      </c>
      <c r="AB35" t="s">
        <v>263</v>
      </c>
      <c r="AC35" t="s">
        <v>29</v>
      </c>
      <c r="AD35" t="s">
        <v>54</v>
      </c>
      <c r="AE35" t="s">
        <v>46</v>
      </c>
      <c r="AF35" t="s">
        <v>442</v>
      </c>
    </row>
    <row r="36" spans="1:32" x14ac:dyDescent="0.35">
      <c r="A36" t="s">
        <v>161</v>
      </c>
      <c r="B36" s="26">
        <v>33479</v>
      </c>
      <c r="C36">
        <v>33</v>
      </c>
      <c r="D36" s="26">
        <v>43636</v>
      </c>
      <c r="E36" t="s">
        <v>22</v>
      </c>
      <c r="F36" t="s">
        <v>35</v>
      </c>
      <c r="G36" t="s">
        <v>162</v>
      </c>
      <c r="H36" t="s">
        <v>25</v>
      </c>
      <c r="I36" t="s">
        <v>39</v>
      </c>
      <c r="J36">
        <v>850000</v>
      </c>
      <c r="K36">
        <v>82000</v>
      </c>
      <c r="L36">
        <v>932000</v>
      </c>
      <c r="M36">
        <v>9</v>
      </c>
      <c r="N36">
        <v>4.4000000000000004</v>
      </c>
      <c r="O36">
        <v>97.8</v>
      </c>
      <c r="P36">
        <v>2</v>
      </c>
      <c r="Q36" t="s">
        <v>30</v>
      </c>
      <c r="R36" t="s">
        <v>31</v>
      </c>
      <c r="S36">
        <v>45092</v>
      </c>
      <c r="T36" t="s">
        <v>32</v>
      </c>
      <c r="U36" t="s">
        <v>375</v>
      </c>
      <c r="V36" t="s">
        <v>289</v>
      </c>
      <c r="W36" t="s">
        <v>509</v>
      </c>
      <c r="X36" t="s">
        <v>510</v>
      </c>
      <c r="Y36" t="s">
        <v>270</v>
      </c>
      <c r="Z36">
        <v>932000</v>
      </c>
      <c r="AA36" t="s">
        <v>49</v>
      </c>
      <c r="AB36" t="s">
        <v>264</v>
      </c>
      <c r="AC36" t="s">
        <v>29</v>
      </c>
      <c r="AD36" t="s">
        <v>26</v>
      </c>
      <c r="AE36" t="s">
        <v>27</v>
      </c>
      <c r="AF36" t="s">
        <v>462</v>
      </c>
    </row>
    <row r="37" spans="1:32" x14ac:dyDescent="0.35">
      <c r="A37" t="s">
        <v>193</v>
      </c>
      <c r="B37" s="26">
        <v>33441</v>
      </c>
      <c r="C37">
        <v>33</v>
      </c>
      <c r="D37" s="26">
        <v>43756</v>
      </c>
      <c r="E37" t="s">
        <v>22</v>
      </c>
      <c r="F37" t="s">
        <v>23</v>
      </c>
      <c r="G37" t="s">
        <v>194</v>
      </c>
      <c r="H37" t="s">
        <v>25</v>
      </c>
      <c r="I37" t="s">
        <v>28</v>
      </c>
      <c r="J37">
        <v>850000</v>
      </c>
      <c r="K37">
        <v>82000</v>
      </c>
      <c r="L37">
        <v>932000</v>
      </c>
      <c r="M37">
        <v>9</v>
      </c>
      <c r="N37">
        <v>4.4000000000000004</v>
      </c>
      <c r="O37">
        <v>97.7</v>
      </c>
      <c r="P37">
        <v>3</v>
      </c>
      <c r="Q37" t="s">
        <v>30</v>
      </c>
      <c r="R37" t="s">
        <v>31</v>
      </c>
      <c r="S37" t="s">
        <v>50</v>
      </c>
      <c r="T37" t="s">
        <v>32</v>
      </c>
      <c r="U37" t="s">
        <v>391</v>
      </c>
      <c r="V37" t="s">
        <v>286</v>
      </c>
      <c r="W37" t="s">
        <v>511</v>
      </c>
      <c r="X37" t="s">
        <v>512</v>
      </c>
      <c r="Y37" t="s">
        <v>269</v>
      </c>
      <c r="Z37">
        <v>932000</v>
      </c>
      <c r="AA37" t="s">
        <v>49</v>
      </c>
      <c r="AB37" t="s">
        <v>264</v>
      </c>
      <c r="AC37" t="s">
        <v>29</v>
      </c>
      <c r="AD37" t="s">
        <v>45</v>
      </c>
      <c r="AE37" t="s">
        <v>46</v>
      </c>
      <c r="AF37" t="s">
        <v>442</v>
      </c>
    </row>
    <row r="38" spans="1:32" x14ac:dyDescent="0.35">
      <c r="A38" t="s">
        <v>227</v>
      </c>
      <c r="B38" s="26">
        <v>33045</v>
      </c>
      <c r="C38">
        <v>34</v>
      </c>
      <c r="D38" s="26">
        <v>43476</v>
      </c>
      <c r="E38" t="s">
        <v>22</v>
      </c>
      <c r="F38" t="s">
        <v>65</v>
      </c>
      <c r="G38" t="s">
        <v>228</v>
      </c>
      <c r="H38" t="s">
        <v>25</v>
      </c>
      <c r="I38" t="s">
        <v>67</v>
      </c>
      <c r="J38">
        <v>840000</v>
      </c>
      <c r="K38">
        <v>88000</v>
      </c>
      <c r="L38">
        <v>928000</v>
      </c>
      <c r="M38">
        <v>10</v>
      </c>
      <c r="N38">
        <v>4.3</v>
      </c>
      <c r="O38">
        <v>97</v>
      </c>
      <c r="P38">
        <v>2</v>
      </c>
      <c r="Q38" t="s">
        <v>30</v>
      </c>
      <c r="R38" t="s">
        <v>31</v>
      </c>
      <c r="S38">
        <v>44946</v>
      </c>
      <c r="T38" t="s">
        <v>32</v>
      </c>
      <c r="U38" t="s">
        <v>408</v>
      </c>
      <c r="V38" t="s">
        <v>308</v>
      </c>
      <c r="W38" t="s">
        <v>513</v>
      </c>
      <c r="X38" t="s">
        <v>514</v>
      </c>
      <c r="Y38" t="s">
        <v>271</v>
      </c>
      <c r="Z38">
        <v>1067200</v>
      </c>
      <c r="AA38" t="s">
        <v>49</v>
      </c>
      <c r="AB38" t="s">
        <v>263</v>
      </c>
      <c r="AC38" t="s">
        <v>29</v>
      </c>
      <c r="AD38" t="s">
        <v>37</v>
      </c>
      <c r="AE38" t="s">
        <v>38</v>
      </c>
      <c r="AF38" t="s">
        <v>462</v>
      </c>
    </row>
    <row r="39" spans="1:32" x14ac:dyDescent="0.35">
      <c r="A39" t="s">
        <v>143</v>
      </c>
      <c r="B39" s="26">
        <v>31796</v>
      </c>
      <c r="C39">
        <v>37</v>
      </c>
      <c r="D39" s="26">
        <v>42408</v>
      </c>
      <c r="E39" t="s">
        <v>34</v>
      </c>
      <c r="F39" t="s">
        <v>65</v>
      </c>
      <c r="G39" t="s">
        <v>144</v>
      </c>
      <c r="H39" t="s">
        <v>25</v>
      </c>
      <c r="I39" t="s">
        <v>67</v>
      </c>
      <c r="J39">
        <v>830000</v>
      </c>
      <c r="K39">
        <v>92000</v>
      </c>
      <c r="L39">
        <v>922000</v>
      </c>
      <c r="M39">
        <v>15</v>
      </c>
      <c r="N39">
        <v>4.3</v>
      </c>
      <c r="O39">
        <v>97.1</v>
      </c>
      <c r="P39">
        <v>2</v>
      </c>
      <c r="Q39" t="s">
        <v>30</v>
      </c>
      <c r="R39" t="s">
        <v>31</v>
      </c>
      <c r="S39">
        <v>44242</v>
      </c>
      <c r="T39" t="s">
        <v>32</v>
      </c>
      <c r="U39" t="s">
        <v>366</v>
      </c>
      <c r="V39" t="s">
        <v>294</v>
      </c>
      <c r="W39" t="s">
        <v>515</v>
      </c>
      <c r="X39" t="s">
        <v>516</v>
      </c>
      <c r="Y39" t="s">
        <v>271</v>
      </c>
      <c r="Z39">
        <v>1060300</v>
      </c>
      <c r="AA39" t="s">
        <v>49</v>
      </c>
      <c r="AB39" t="s">
        <v>263</v>
      </c>
      <c r="AC39" t="s">
        <v>40</v>
      </c>
      <c r="AD39" t="s">
        <v>75</v>
      </c>
      <c r="AE39" t="s">
        <v>46</v>
      </c>
      <c r="AF39" t="s">
        <v>462</v>
      </c>
    </row>
    <row r="40" spans="1:32" x14ac:dyDescent="0.35">
      <c r="A40" t="s">
        <v>83</v>
      </c>
      <c r="B40" s="26">
        <v>33204</v>
      </c>
      <c r="C40">
        <v>34</v>
      </c>
      <c r="D40" s="26">
        <v>43306</v>
      </c>
      <c r="E40" t="s">
        <v>22</v>
      </c>
      <c r="F40" t="s">
        <v>65</v>
      </c>
      <c r="G40" t="s">
        <v>84</v>
      </c>
      <c r="H40" t="s">
        <v>25</v>
      </c>
      <c r="I40" t="s">
        <v>67</v>
      </c>
      <c r="J40">
        <v>810000</v>
      </c>
      <c r="K40">
        <v>95000</v>
      </c>
      <c r="L40">
        <v>905000</v>
      </c>
      <c r="M40">
        <v>10</v>
      </c>
      <c r="N40">
        <v>4.2</v>
      </c>
      <c r="O40">
        <v>95.5</v>
      </c>
      <c r="P40">
        <v>2</v>
      </c>
      <c r="Q40" t="s">
        <v>30</v>
      </c>
      <c r="R40" t="s">
        <v>49</v>
      </c>
      <c r="S40" t="s">
        <v>50</v>
      </c>
      <c r="T40" t="s">
        <v>32</v>
      </c>
      <c r="U40" t="s">
        <v>326</v>
      </c>
      <c r="V40" t="s">
        <v>287</v>
      </c>
      <c r="W40" t="s">
        <v>517</v>
      </c>
      <c r="X40" t="s">
        <v>518</v>
      </c>
      <c r="Y40" t="s">
        <v>271</v>
      </c>
      <c r="Z40">
        <v>1040750</v>
      </c>
      <c r="AA40" t="s">
        <v>49</v>
      </c>
      <c r="AB40" t="s">
        <v>263</v>
      </c>
      <c r="AC40" t="s">
        <v>29</v>
      </c>
      <c r="AD40" t="s">
        <v>54</v>
      </c>
      <c r="AE40" t="s">
        <v>46</v>
      </c>
      <c r="AF40" t="s">
        <v>462</v>
      </c>
    </row>
    <row r="41" spans="1:32" x14ac:dyDescent="0.35">
      <c r="A41" t="s">
        <v>123</v>
      </c>
      <c r="B41" s="26">
        <v>31343</v>
      </c>
      <c r="C41">
        <v>39</v>
      </c>
      <c r="D41" s="26">
        <v>42277</v>
      </c>
      <c r="E41" t="s">
        <v>42</v>
      </c>
      <c r="F41" t="s">
        <v>43</v>
      </c>
      <c r="G41" t="s">
        <v>124</v>
      </c>
      <c r="H41" t="s">
        <v>25</v>
      </c>
      <c r="I41" t="s">
        <v>47</v>
      </c>
      <c r="J41">
        <v>820000</v>
      </c>
      <c r="K41">
        <v>78000</v>
      </c>
      <c r="L41">
        <v>898000</v>
      </c>
      <c r="M41">
        <v>17</v>
      </c>
      <c r="N41">
        <v>4.0999999999999996</v>
      </c>
      <c r="O41">
        <v>96.1</v>
      </c>
      <c r="P41">
        <v>2</v>
      </c>
      <c r="Q41" t="s">
        <v>48</v>
      </c>
      <c r="R41" t="s">
        <v>31</v>
      </c>
      <c r="S41">
        <v>44084</v>
      </c>
      <c r="T41" t="s">
        <v>32</v>
      </c>
      <c r="U41" t="s">
        <v>356</v>
      </c>
      <c r="V41" t="s">
        <v>298</v>
      </c>
      <c r="W41" t="s">
        <v>519</v>
      </c>
      <c r="X41" t="s">
        <v>520</v>
      </c>
      <c r="Y41" t="s">
        <v>274</v>
      </c>
      <c r="Z41">
        <v>898000</v>
      </c>
      <c r="AA41" t="s">
        <v>49</v>
      </c>
      <c r="AB41" t="s">
        <v>263</v>
      </c>
      <c r="AC41" t="s">
        <v>40</v>
      </c>
      <c r="AD41" t="s">
        <v>54</v>
      </c>
      <c r="AE41" t="s">
        <v>46</v>
      </c>
      <c r="AF41" t="s">
        <v>462</v>
      </c>
    </row>
    <row r="42" spans="1:32" x14ac:dyDescent="0.35">
      <c r="A42" t="s">
        <v>167</v>
      </c>
      <c r="B42" s="26">
        <v>31964</v>
      </c>
      <c r="C42">
        <v>37</v>
      </c>
      <c r="D42" s="26">
        <v>42686</v>
      </c>
      <c r="E42" t="s">
        <v>42</v>
      </c>
      <c r="F42" t="s">
        <v>23</v>
      </c>
      <c r="G42" t="s">
        <v>168</v>
      </c>
      <c r="H42" t="s">
        <v>25</v>
      </c>
      <c r="I42" t="s">
        <v>28</v>
      </c>
      <c r="J42">
        <v>820000</v>
      </c>
      <c r="K42">
        <v>78000</v>
      </c>
      <c r="L42">
        <v>898000</v>
      </c>
      <c r="M42">
        <v>15</v>
      </c>
      <c r="N42">
        <v>4.2</v>
      </c>
      <c r="O42">
        <v>96.8</v>
      </c>
      <c r="P42">
        <v>3</v>
      </c>
      <c r="Q42" t="s">
        <v>30</v>
      </c>
      <c r="R42" t="s">
        <v>31</v>
      </c>
      <c r="S42">
        <v>44525</v>
      </c>
      <c r="T42" t="s">
        <v>32</v>
      </c>
      <c r="U42" t="s">
        <v>378</v>
      </c>
      <c r="V42" t="s">
        <v>298</v>
      </c>
      <c r="W42" t="s">
        <v>521</v>
      </c>
      <c r="X42" t="s">
        <v>522</v>
      </c>
      <c r="Y42" t="s">
        <v>269</v>
      </c>
      <c r="Z42">
        <v>898000</v>
      </c>
      <c r="AA42" t="s">
        <v>49</v>
      </c>
      <c r="AB42" t="s">
        <v>263</v>
      </c>
      <c r="AC42" t="s">
        <v>29</v>
      </c>
      <c r="AD42" t="s">
        <v>54</v>
      </c>
      <c r="AE42" t="s">
        <v>46</v>
      </c>
      <c r="AF42" t="s">
        <v>442</v>
      </c>
    </row>
    <row r="43" spans="1:32" x14ac:dyDescent="0.35">
      <c r="A43" t="s">
        <v>103</v>
      </c>
      <c r="B43" s="26">
        <v>31419</v>
      </c>
      <c r="C43">
        <v>38</v>
      </c>
      <c r="D43" s="26">
        <v>42593</v>
      </c>
      <c r="E43" t="s">
        <v>57</v>
      </c>
      <c r="F43" t="s">
        <v>58</v>
      </c>
      <c r="G43" t="s">
        <v>104</v>
      </c>
      <c r="H43" t="s">
        <v>25</v>
      </c>
      <c r="I43" t="s">
        <v>61</v>
      </c>
      <c r="J43">
        <v>820000</v>
      </c>
      <c r="K43">
        <v>78000</v>
      </c>
      <c r="L43">
        <v>898000</v>
      </c>
      <c r="M43">
        <v>15</v>
      </c>
      <c r="N43">
        <v>4.2</v>
      </c>
      <c r="O43">
        <v>97</v>
      </c>
      <c r="P43">
        <v>2</v>
      </c>
      <c r="Q43" t="s">
        <v>30</v>
      </c>
      <c r="R43" t="s">
        <v>31</v>
      </c>
      <c r="S43">
        <v>44433</v>
      </c>
      <c r="T43" t="s">
        <v>32</v>
      </c>
      <c r="U43" t="s">
        <v>346</v>
      </c>
      <c r="V43" t="s">
        <v>307</v>
      </c>
      <c r="W43" t="s">
        <v>523</v>
      </c>
      <c r="X43" t="s">
        <v>524</v>
      </c>
      <c r="Y43" t="s">
        <v>273</v>
      </c>
      <c r="Z43">
        <v>898000</v>
      </c>
      <c r="AA43" t="s">
        <v>49</v>
      </c>
      <c r="AB43" t="s">
        <v>263</v>
      </c>
      <c r="AC43" t="s">
        <v>29</v>
      </c>
      <c r="AD43" t="s">
        <v>37</v>
      </c>
      <c r="AE43" t="s">
        <v>38</v>
      </c>
      <c r="AF43" t="s">
        <v>462</v>
      </c>
    </row>
    <row r="44" spans="1:32" x14ac:dyDescent="0.35">
      <c r="A44" t="s">
        <v>217</v>
      </c>
      <c r="B44" s="26">
        <v>33714</v>
      </c>
      <c r="C44">
        <v>32</v>
      </c>
      <c r="D44" s="26">
        <v>44267</v>
      </c>
      <c r="E44" t="s">
        <v>57</v>
      </c>
      <c r="F44" t="s">
        <v>35</v>
      </c>
      <c r="G44" t="s">
        <v>218</v>
      </c>
      <c r="H44" t="s">
        <v>25</v>
      </c>
      <c r="I44" t="s">
        <v>39</v>
      </c>
      <c r="J44">
        <v>820000</v>
      </c>
      <c r="K44">
        <v>78000</v>
      </c>
      <c r="L44">
        <v>898000</v>
      </c>
      <c r="M44">
        <v>8</v>
      </c>
      <c r="N44">
        <v>4.4000000000000004</v>
      </c>
      <c r="O44">
        <v>97.9</v>
      </c>
      <c r="P44">
        <v>3</v>
      </c>
      <c r="Q44" t="s">
        <v>30</v>
      </c>
      <c r="R44" t="s">
        <v>31</v>
      </c>
      <c r="S44" t="s">
        <v>50</v>
      </c>
      <c r="T44" t="s">
        <v>32</v>
      </c>
      <c r="U44" t="s">
        <v>403</v>
      </c>
      <c r="V44" t="s">
        <v>306</v>
      </c>
      <c r="W44" t="s">
        <v>525</v>
      </c>
      <c r="X44" t="s">
        <v>526</v>
      </c>
      <c r="Y44" t="s">
        <v>270</v>
      </c>
      <c r="Z44">
        <v>898000</v>
      </c>
      <c r="AA44" t="s">
        <v>49</v>
      </c>
      <c r="AB44" t="s">
        <v>264</v>
      </c>
      <c r="AC44" t="s">
        <v>29</v>
      </c>
      <c r="AD44" t="s">
        <v>45</v>
      </c>
      <c r="AE44" t="s">
        <v>46</v>
      </c>
      <c r="AF44" t="s">
        <v>442</v>
      </c>
    </row>
    <row r="45" spans="1:32" x14ac:dyDescent="0.35">
      <c r="A45" t="s">
        <v>191</v>
      </c>
      <c r="B45" s="26">
        <v>31726</v>
      </c>
      <c r="C45">
        <v>38</v>
      </c>
      <c r="D45" s="26">
        <v>42434</v>
      </c>
      <c r="E45" t="s">
        <v>42</v>
      </c>
      <c r="F45" t="s">
        <v>65</v>
      </c>
      <c r="G45" t="s">
        <v>192</v>
      </c>
      <c r="H45" t="s">
        <v>25</v>
      </c>
      <c r="I45" t="s">
        <v>67</v>
      </c>
      <c r="J45">
        <v>810000</v>
      </c>
      <c r="K45">
        <v>78000</v>
      </c>
      <c r="L45">
        <v>888000</v>
      </c>
      <c r="M45">
        <v>16</v>
      </c>
      <c r="N45">
        <v>4.3</v>
      </c>
      <c r="O45">
        <v>97.4</v>
      </c>
      <c r="P45">
        <v>2</v>
      </c>
      <c r="Q45" t="s">
        <v>48</v>
      </c>
      <c r="R45" t="s">
        <v>31</v>
      </c>
      <c r="S45">
        <v>44270</v>
      </c>
      <c r="T45" t="s">
        <v>32</v>
      </c>
      <c r="U45" t="s">
        <v>390</v>
      </c>
      <c r="V45" t="s">
        <v>285</v>
      </c>
      <c r="W45" t="s">
        <v>527</v>
      </c>
      <c r="X45" t="s">
        <v>528</v>
      </c>
      <c r="Y45" t="s">
        <v>271</v>
      </c>
      <c r="Z45">
        <v>1021200</v>
      </c>
      <c r="AA45" t="s">
        <v>49</v>
      </c>
      <c r="AB45" t="s">
        <v>263</v>
      </c>
      <c r="AC45" t="s">
        <v>40</v>
      </c>
      <c r="AD45" t="s">
        <v>60</v>
      </c>
      <c r="AE45" t="s">
        <v>27</v>
      </c>
      <c r="AF45" t="s">
        <v>462</v>
      </c>
    </row>
    <row r="46" spans="1:32" x14ac:dyDescent="0.35">
      <c r="A46" t="s">
        <v>177</v>
      </c>
      <c r="B46" s="26">
        <v>33403</v>
      </c>
      <c r="C46">
        <v>33</v>
      </c>
      <c r="D46" s="26">
        <v>43932</v>
      </c>
      <c r="E46" t="s">
        <v>34</v>
      </c>
      <c r="F46" t="s">
        <v>52</v>
      </c>
      <c r="G46" t="s">
        <v>178</v>
      </c>
      <c r="H46" t="s">
        <v>25</v>
      </c>
      <c r="I46" t="s">
        <v>55</v>
      </c>
      <c r="J46">
        <v>810000</v>
      </c>
      <c r="K46">
        <v>78000</v>
      </c>
      <c r="L46">
        <v>888000</v>
      </c>
      <c r="M46">
        <v>9</v>
      </c>
      <c r="N46">
        <v>4.3</v>
      </c>
      <c r="O46">
        <v>97.3</v>
      </c>
      <c r="P46">
        <v>2</v>
      </c>
      <c r="Q46" t="s">
        <v>30</v>
      </c>
      <c r="R46" t="s">
        <v>31</v>
      </c>
      <c r="S46" t="s">
        <v>50</v>
      </c>
      <c r="T46" t="s">
        <v>32</v>
      </c>
      <c r="U46" t="s">
        <v>383</v>
      </c>
      <c r="V46" t="s">
        <v>306</v>
      </c>
      <c r="W46" t="s">
        <v>529</v>
      </c>
      <c r="X46" t="s">
        <v>530</v>
      </c>
      <c r="Y46" t="s">
        <v>272</v>
      </c>
      <c r="Z46">
        <v>888000</v>
      </c>
      <c r="AA46" t="s">
        <v>49</v>
      </c>
      <c r="AB46" t="s">
        <v>264</v>
      </c>
      <c r="AC46" t="s">
        <v>29</v>
      </c>
      <c r="AD46" t="s">
        <v>60</v>
      </c>
      <c r="AE46" t="s">
        <v>27</v>
      </c>
      <c r="AF46" t="s">
        <v>462</v>
      </c>
    </row>
    <row r="47" spans="1:32" x14ac:dyDescent="0.35">
      <c r="A47" t="s">
        <v>199</v>
      </c>
      <c r="B47" s="26">
        <v>31865</v>
      </c>
      <c r="C47">
        <v>37</v>
      </c>
      <c r="D47" s="26">
        <v>42573</v>
      </c>
      <c r="E47" t="s">
        <v>22</v>
      </c>
      <c r="F47" t="s">
        <v>58</v>
      </c>
      <c r="G47" t="s">
        <v>200</v>
      </c>
      <c r="H47" t="s">
        <v>25</v>
      </c>
      <c r="I47" t="s">
        <v>61</v>
      </c>
      <c r="J47">
        <v>800000</v>
      </c>
      <c r="K47">
        <v>76000</v>
      </c>
      <c r="L47">
        <v>876000</v>
      </c>
      <c r="M47">
        <v>15</v>
      </c>
      <c r="N47">
        <v>4.2</v>
      </c>
      <c r="O47">
        <v>97.2</v>
      </c>
      <c r="P47">
        <v>3</v>
      </c>
      <c r="Q47" t="s">
        <v>30</v>
      </c>
      <c r="R47" t="s">
        <v>31</v>
      </c>
      <c r="S47">
        <v>44407</v>
      </c>
      <c r="T47" t="s">
        <v>32</v>
      </c>
      <c r="U47" t="s">
        <v>394</v>
      </c>
      <c r="V47" t="s">
        <v>315</v>
      </c>
      <c r="W47" t="s">
        <v>531</v>
      </c>
      <c r="X47" t="s">
        <v>532</v>
      </c>
      <c r="Y47" t="s">
        <v>273</v>
      </c>
      <c r="Z47">
        <v>876000</v>
      </c>
      <c r="AA47" t="s">
        <v>49</v>
      </c>
      <c r="AB47" t="s">
        <v>263</v>
      </c>
      <c r="AC47" t="s">
        <v>29</v>
      </c>
      <c r="AD47" t="s">
        <v>54</v>
      </c>
      <c r="AE47" t="s">
        <v>46</v>
      </c>
      <c r="AF47" t="s">
        <v>442</v>
      </c>
    </row>
    <row r="48" spans="1:32" x14ac:dyDescent="0.35">
      <c r="A48" t="s">
        <v>183</v>
      </c>
      <c r="B48" s="26">
        <v>32010</v>
      </c>
      <c r="C48">
        <v>37</v>
      </c>
      <c r="D48" s="26">
        <v>42537</v>
      </c>
      <c r="E48" t="s">
        <v>57</v>
      </c>
      <c r="F48" t="s">
        <v>23</v>
      </c>
      <c r="G48" t="s">
        <v>184</v>
      </c>
      <c r="H48" t="s">
        <v>25</v>
      </c>
      <c r="I48" t="s">
        <v>28</v>
      </c>
      <c r="J48">
        <v>790000</v>
      </c>
      <c r="K48">
        <v>75000</v>
      </c>
      <c r="L48">
        <v>865000</v>
      </c>
      <c r="M48">
        <v>15</v>
      </c>
      <c r="N48">
        <v>4.2</v>
      </c>
      <c r="O48">
        <v>96.9</v>
      </c>
      <c r="P48">
        <v>3</v>
      </c>
      <c r="Q48" t="s">
        <v>30</v>
      </c>
      <c r="R48" t="s">
        <v>31</v>
      </c>
      <c r="S48">
        <v>44367</v>
      </c>
      <c r="T48" t="s">
        <v>32</v>
      </c>
      <c r="U48" t="s">
        <v>386</v>
      </c>
      <c r="V48" t="s">
        <v>309</v>
      </c>
      <c r="W48" t="s">
        <v>533</v>
      </c>
      <c r="X48" t="s">
        <v>534</v>
      </c>
      <c r="Y48" t="s">
        <v>269</v>
      </c>
      <c r="Z48">
        <v>865000</v>
      </c>
      <c r="AA48" t="s">
        <v>49</v>
      </c>
      <c r="AB48" t="s">
        <v>263</v>
      </c>
      <c r="AC48" t="s">
        <v>40</v>
      </c>
      <c r="AD48" t="s">
        <v>26</v>
      </c>
      <c r="AE48" t="s">
        <v>27</v>
      </c>
      <c r="AF48" t="s">
        <v>442</v>
      </c>
    </row>
    <row r="49" spans="1:32" x14ac:dyDescent="0.35">
      <c r="A49" t="s">
        <v>223</v>
      </c>
      <c r="B49" s="26">
        <v>31835</v>
      </c>
      <c r="C49">
        <v>37</v>
      </c>
      <c r="D49" s="26">
        <v>42632</v>
      </c>
      <c r="E49" t="s">
        <v>69</v>
      </c>
      <c r="F49" t="s">
        <v>58</v>
      </c>
      <c r="G49" t="s">
        <v>224</v>
      </c>
      <c r="H49" t="s">
        <v>25</v>
      </c>
      <c r="I49" t="s">
        <v>61</v>
      </c>
      <c r="J49">
        <v>790000</v>
      </c>
      <c r="K49">
        <v>75000</v>
      </c>
      <c r="L49">
        <v>865000</v>
      </c>
      <c r="M49">
        <v>15</v>
      </c>
      <c r="N49">
        <v>4.0999999999999996</v>
      </c>
      <c r="O49">
        <v>96.3</v>
      </c>
      <c r="P49">
        <v>2</v>
      </c>
      <c r="Q49" t="s">
        <v>30</v>
      </c>
      <c r="R49" t="s">
        <v>31</v>
      </c>
      <c r="S49">
        <v>44464</v>
      </c>
      <c r="T49" t="s">
        <v>32</v>
      </c>
      <c r="U49" t="s">
        <v>406</v>
      </c>
      <c r="V49" t="s">
        <v>309</v>
      </c>
      <c r="W49" t="s">
        <v>535</v>
      </c>
      <c r="X49" t="s">
        <v>536</v>
      </c>
      <c r="Y49" t="s">
        <v>273</v>
      </c>
      <c r="Z49">
        <v>865000</v>
      </c>
      <c r="AA49" t="s">
        <v>49</v>
      </c>
      <c r="AB49" t="s">
        <v>263</v>
      </c>
      <c r="AC49" t="s">
        <v>40</v>
      </c>
      <c r="AD49" t="s">
        <v>75</v>
      </c>
      <c r="AE49" t="s">
        <v>46</v>
      </c>
      <c r="AF49" t="s">
        <v>462</v>
      </c>
    </row>
    <row r="50" spans="1:32" x14ac:dyDescent="0.35">
      <c r="A50" t="s">
        <v>135</v>
      </c>
      <c r="B50" s="26">
        <v>32236</v>
      </c>
      <c r="C50">
        <v>36</v>
      </c>
      <c r="D50" s="26">
        <v>42942</v>
      </c>
      <c r="E50" t="s">
        <v>34</v>
      </c>
      <c r="F50" t="s">
        <v>43</v>
      </c>
      <c r="G50" t="s">
        <v>136</v>
      </c>
      <c r="H50" t="s">
        <v>25</v>
      </c>
      <c r="I50" t="s">
        <v>47</v>
      </c>
      <c r="J50">
        <v>790000</v>
      </c>
      <c r="K50">
        <v>72000</v>
      </c>
      <c r="L50">
        <v>862000</v>
      </c>
      <c r="M50">
        <v>13</v>
      </c>
      <c r="N50">
        <v>4.2</v>
      </c>
      <c r="O50">
        <v>96.5</v>
      </c>
      <c r="P50">
        <v>2</v>
      </c>
      <c r="Q50" t="s">
        <v>30</v>
      </c>
      <c r="R50" t="s">
        <v>31</v>
      </c>
      <c r="S50">
        <v>44752</v>
      </c>
      <c r="T50" t="s">
        <v>32</v>
      </c>
      <c r="U50" t="s">
        <v>362</v>
      </c>
      <c r="V50" t="s">
        <v>320</v>
      </c>
      <c r="W50" t="s">
        <v>537</v>
      </c>
      <c r="X50" t="s">
        <v>538</v>
      </c>
      <c r="Y50" t="s">
        <v>274</v>
      </c>
      <c r="Z50">
        <v>862000</v>
      </c>
      <c r="AA50" t="s">
        <v>49</v>
      </c>
      <c r="AB50" t="s">
        <v>263</v>
      </c>
      <c r="AC50" t="s">
        <v>29</v>
      </c>
      <c r="AD50" t="s">
        <v>37</v>
      </c>
      <c r="AE50" t="s">
        <v>38</v>
      </c>
      <c r="AF50" t="s">
        <v>462</v>
      </c>
    </row>
    <row r="51" spans="1:32" x14ac:dyDescent="0.35">
      <c r="A51" t="s">
        <v>203</v>
      </c>
      <c r="B51" s="26">
        <v>33231</v>
      </c>
      <c r="C51">
        <v>34</v>
      </c>
      <c r="D51" s="26">
        <v>43512</v>
      </c>
      <c r="E51" t="s">
        <v>22</v>
      </c>
      <c r="F51" t="s">
        <v>65</v>
      </c>
      <c r="G51" t="s">
        <v>204</v>
      </c>
      <c r="H51" t="s">
        <v>25</v>
      </c>
      <c r="I51" t="s">
        <v>67</v>
      </c>
      <c r="J51">
        <v>780000</v>
      </c>
      <c r="K51">
        <v>75000</v>
      </c>
      <c r="L51">
        <v>855000</v>
      </c>
      <c r="M51">
        <v>10</v>
      </c>
      <c r="N51">
        <v>4.2</v>
      </c>
      <c r="O51">
        <v>96.6</v>
      </c>
      <c r="P51">
        <v>2</v>
      </c>
      <c r="Q51" t="s">
        <v>30</v>
      </c>
      <c r="R51" t="s">
        <v>49</v>
      </c>
      <c r="S51" t="s">
        <v>50</v>
      </c>
      <c r="T51" t="s">
        <v>32</v>
      </c>
      <c r="U51" t="s">
        <v>396</v>
      </c>
      <c r="V51" t="s">
        <v>291</v>
      </c>
      <c r="W51" t="s">
        <v>539</v>
      </c>
      <c r="X51" t="s">
        <v>540</v>
      </c>
      <c r="Y51" t="s">
        <v>271</v>
      </c>
      <c r="Z51">
        <v>983250</v>
      </c>
      <c r="AA51" t="s">
        <v>49</v>
      </c>
      <c r="AB51" t="s">
        <v>263</v>
      </c>
      <c r="AC51" t="s">
        <v>40</v>
      </c>
      <c r="AD51" t="s">
        <v>45</v>
      </c>
      <c r="AE51" t="s">
        <v>46</v>
      </c>
      <c r="AF51" t="s">
        <v>462</v>
      </c>
    </row>
    <row r="52" spans="1:32" x14ac:dyDescent="0.35">
      <c r="A52" t="s">
        <v>111</v>
      </c>
      <c r="B52" s="26">
        <v>30940</v>
      </c>
      <c r="C52">
        <v>40</v>
      </c>
      <c r="D52" s="26">
        <v>42013</v>
      </c>
      <c r="E52" t="s">
        <v>42</v>
      </c>
      <c r="F52" t="s">
        <v>23</v>
      </c>
      <c r="G52" t="s">
        <v>112</v>
      </c>
      <c r="H52" t="s">
        <v>25</v>
      </c>
      <c r="I52" t="s">
        <v>28</v>
      </c>
      <c r="J52">
        <v>780000</v>
      </c>
      <c r="K52">
        <v>72000</v>
      </c>
      <c r="L52">
        <v>852000</v>
      </c>
      <c r="M52">
        <v>19</v>
      </c>
      <c r="N52">
        <v>4.0999999999999996</v>
      </c>
      <c r="O52">
        <v>96.4</v>
      </c>
      <c r="P52">
        <v>3</v>
      </c>
      <c r="Q52" t="s">
        <v>48</v>
      </c>
      <c r="R52" t="s">
        <v>31</v>
      </c>
      <c r="S52">
        <v>43845</v>
      </c>
      <c r="T52" t="s">
        <v>32</v>
      </c>
      <c r="U52" t="s">
        <v>350</v>
      </c>
      <c r="V52" t="s">
        <v>311</v>
      </c>
      <c r="W52" t="s">
        <v>541</v>
      </c>
      <c r="X52" t="s">
        <v>542</v>
      </c>
      <c r="Y52" t="s">
        <v>269</v>
      </c>
      <c r="Z52">
        <v>852000</v>
      </c>
      <c r="AA52" t="s">
        <v>49</v>
      </c>
      <c r="AB52" t="s">
        <v>263</v>
      </c>
      <c r="AC52" t="s">
        <v>29</v>
      </c>
      <c r="AD52" t="s">
        <v>26</v>
      </c>
      <c r="AE52" t="s">
        <v>27</v>
      </c>
      <c r="AF52" t="s">
        <v>442</v>
      </c>
    </row>
    <row r="53" spans="1:32" x14ac:dyDescent="0.35">
      <c r="A53" t="s">
        <v>209</v>
      </c>
      <c r="B53" s="26">
        <v>33270</v>
      </c>
      <c r="C53">
        <v>33</v>
      </c>
      <c r="D53" s="26">
        <v>43735</v>
      </c>
      <c r="E53" t="s">
        <v>22</v>
      </c>
      <c r="F53" t="s">
        <v>58</v>
      </c>
      <c r="G53" t="s">
        <v>210</v>
      </c>
      <c r="H53" t="s">
        <v>25</v>
      </c>
      <c r="I53" t="s">
        <v>61</v>
      </c>
      <c r="J53">
        <v>780000</v>
      </c>
      <c r="K53">
        <v>72000</v>
      </c>
      <c r="L53">
        <v>852000</v>
      </c>
      <c r="M53">
        <v>9</v>
      </c>
      <c r="N53">
        <v>4.3</v>
      </c>
      <c r="O53">
        <v>97.5</v>
      </c>
      <c r="P53">
        <v>2</v>
      </c>
      <c r="Q53" t="s">
        <v>30</v>
      </c>
      <c r="R53" t="s">
        <v>31</v>
      </c>
      <c r="S53">
        <v>45184</v>
      </c>
      <c r="T53" t="s">
        <v>32</v>
      </c>
      <c r="U53" t="s">
        <v>399</v>
      </c>
      <c r="V53" t="s">
        <v>303</v>
      </c>
      <c r="W53" t="s">
        <v>543</v>
      </c>
      <c r="X53" t="s">
        <v>544</v>
      </c>
      <c r="Y53" t="s">
        <v>273</v>
      </c>
      <c r="Z53">
        <v>852000</v>
      </c>
      <c r="AA53" t="s">
        <v>49</v>
      </c>
      <c r="AB53" t="s">
        <v>264</v>
      </c>
      <c r="AC53" t="s">
        <v>29</v>
      </c>
      <c r="AD53" t="s">
        <v>26</v>
      </c>
      <c r="AE53" t="s">
        <v>27</v>
      </c>
      <c r="AF53" t="s">
        <v>462</v>
      </c>
    </row>
    <row r="54" spans="1:32" x14ac:dyDescent="0.35">
      <c r="A54" t="s">
        <v>105</v>
      </c>
      <c r="B54" s="26">
        <v>33803</v>
      </c>
      <c r="C54">
        <v>32</v>
      </c>
      <c r="D54" s="26">
        <v>44170</v>
      </c>
      <c r="E54" t="s">
        <v>34</v>
      </c>
      <c r="F54" t="s">
        <v>52</v>
      </c>
      <c r="G54" t="s">
        <v>106</v>
      </c>
      <c r="H54" t="s">
        <v>25</v>
      </c>
      <c r="I54" t="s">
        <v>55</v>
      </c>
      <c r="J54">
        <v>780000</v>
      </c>
      <c r="K54">
        <v>72000</v>
      </c>
      <c r="L54">
        <v>852000</v>
      </c>
      <c r="M54">
        <v>8</v>
      </c>
      <c r="N54">
        <v>4.4000000000000004</v>
      </c>
      <c r="O54">
        <v>98.3</v>
      </c>
      <c r="P54">
        <v>3</v>
      </c>
      <c r="Q54" t="s">
        <v>30</v>
      </c>
      <c r="R54" t="s">
        <v>31</v>
      </c>
      <c r="S54" t="s">
        <v>50</v>
      </c>
      <c r="T54" t="s">
        <v>32</v>
      </c>
      <c r="U54" t="s">
        <v>347</v>
      </c>
      <c r="V54" t="s">
        <v>308</v>
      </c>
      <c r="W54" t="s">
        <v>545</v>
      </c>
      <c r="X54" t="s">
        <v>546</v>
      </c>
      <c r="Y54" t="s">
        <v>272</v>
      </c>
      <c r="Z54">
        <v>852000</v>
      </c>
      <c r="AA54" t="s">
        <v>49</v>
      </c>
      <c r="AB54" t="s">
        <v>264</v>
      </c>
      <c r="AC54" t="s">
        <v>29</v>
      </c>
      <c r="AD54" t="s">
        <v>45</v>
      </c>
      <c r="AE54" t="s">
        <v>46</v>
      </c>
      <c r="AF54" t="s">
        <v>442</v>
      </c>
    </row>
    <row r="55" spans="1:32" x14ac:dyDescent="0.35">
      <c r="A55" t="s">
        <v>157</v>
      </c>
      <c r="B55" s="26">
        <v>34255</v>
      </c>
      <c r="C55">
        <v>31</v>
      </c>
      <c r="D55" s="26">
        <v>44338</v>
      </c>
      <c r="E55" t="s">
        <v>22</v>
      </c>
      <c r="F55" t="s">
        <v>23</v>
      </c>
      <c r="G55" t="s">
        <v>158</v>
      </c>
      <c r="H55" t="s">
        <v>25</v>
      </c>
      <c r="I55" t="s">
        <v>28</v>
      </c>
      <c r="J55">
        <v>780000</v>
      </c>
      <c r="K55">
        <v>72000</v>
      </c>
      <c r="L55">
        <v>852000</v>
      </c>
      <c r="M55">
        <v>6</v>
      </c>
      <c r="N55">
        <v>4.2</v>
      </c>
      <c r="O55">
        <v>96.7</v>
      </c>
      <c r="P55">
        <v>3</v>
      </c>
      <c r="Q55" t="s">
        <v>30</v>
      </c>
      <c r="R55" t="s">
        <v>31</v>
      </c>
      <c r="S55" t="s">
        <v>50</v>
      </c>
      <c r="T55" t="s">
        <v>32</v>
      </c>
      <c r="U55" t="s">
        <v>373</v>
      </c>
      <c r="V55" t="s">
        <v>304</v>
      </c>
      <c r="W55" t="s">
        <v>547</v>
      </c>
      <c r="X55" t="s">
        <v>548</v>
      </c>
      <c r="Y55" t="s">
        <v>269</v>
      </c>
      <c r="Z55">
        <v>852000</v>
      </c>
      <c r="AA55" t="s">
        <v>49</v>
      </c>
      <c r="AB55" t="s">
        <v>264</v>
      </c>
      <c r="AC55" t="s">
        <v>29</v>
      </c>
      <c r="AD55" t="s">
        <v>80</v>
      </c>
      <c r="AE55" t="s">
        <v>38</v>
      </c>
      <c r="AF55" t="s">
        <v>462</v>
      </c>
    </row>
    <row r="56" spans="1:32" x14ac:dyDescent="0.35">
      <c r="A56" t="s">
        <v>41</v>
      </c>
      <c r="B56" s="26">
        <v>32457</v>
      </c>
      <c r="C56">
        <v>36</v>
      </c>
      <c r="D56" s="26">
        <v>42755</v>
      </c>
      <c r="E56" t="s">
        <v>42</v>
      </c>
      <c r="F56" t="s">
        <v>43</v>
      </c>
      <c r="G56" t="s">
        <v>44</v>
      </c>
      <c r="H56" t="s">
        <v>25</v>
      </c>
      <c r="I56" t="s">
        <v>47</v>
      </c>
      <c r="J56">
        <v>780000</v>
      </c>
      <c r="K56">
        <v>70000</v>
      </c>
      <c r="L56">
        <v>850000</v>
      </c>
      <c r="M56">
        <v>14</v>
      </c>
      <c r="N56">
        <v>3.8</v>
      </c>
      <c r="O56">
        <v>94.3</v>
      </c>
      <c r="P56">
        <v>1</v>
      </c>
      <c r="Q56" t="s">
        <v>48</v>
      </c>
      <c r="R56" t="s">
        <v>49</v>
      </c>
      <c r="S56" t="s">
        <v>50</v>
      </c>
      <c r="T56" t="s">
        <v>32</v>
      </c>
      <c r="U56" t="s">
        <v>336</v>
      </c>
      <c r="V56" t="s">
        <v>297</v>
      </c>
      <c r="W56" t="s">
        <v>549</v>
      </c>
      <c r="X56" t="s">
        <v>550</v>
      </c>
      <c r="Y56" t="s">
        <v>274</v>
      </c>
      <c r="Z56">
        <v>850000</v>
      </c>
      <c r="AA56" t="s">
        <v>49</v>
      </c>
      <c r="AB56" t="s">
        <v>263</v>
      </c>
      <c r="AC56" t="s">
        <v>40</v>
      </c>
      <c r="AD56" t="s">
        <v>45</v>
      </c>
      <c r="AE56" t="s">
        <v>46</v>
      </c>
      <c r="AF56" t="s">
        <v>462</v>
      </c>
    </row>
    <row r="57" spans="1:32" x14ac:dyDescent="0.35">
      <c r="A57" t="s">
        <v>231</v>
      </c>
      <c r="B57" s="26">
        <v>32218</v>
      </c>
      <c r="C57">
        <v>36</v>
      </c>
      <c r="D57" s="26">
        <v>42924</v>
      </c>
      <c r="E57" t="s">
        <v>34</v>
      </c>
      <c r="F57" t="s">
        <v>43</v>
      </c>
      <c r="G57" t="s">
        <v>232</v>
      </c>
      <c r="H57" t="s">
        <v>25</v>
      </c>
      <c r="I57" t="s">
        <v>47</v>
      </c>
      <c r="J57">
        <v>770000</v>
      </c>
      <c r="K57">
        <v>72000</v>
      </c>
      <c r="L57">
        <v>842000</v>
      </c>
      <c r="M57">
        <v>13</v>
      </c>
      <c r="N57">
        <v>4.0999999999999996</v>
      </c>
      <c r="O57">
        <v>96.5</v>
      </c>
      <c r="P57">
        <v>2</v>
      </c>
      <c r="Q57" t="s">
        <v>30</v>
      </c>
      <c r="R57" t="s">
        <v>31</v>
      </c>
      <c r="S57">
        <v>44757</v>
      </c>
      <c r="T57" t="s">
        <v>32</v>
      </c>
      <c r="U57" t="s">
        <v>416</v>
      </c>
      <c r="V57" t="s">
        <v>285</v>
      </c>
      <c r="W57" t="s">
        <v>551</v>
      </c>
      <c r="X57" t="s">
        <v>552</v>
      </c>
      <c r="Y57" t="s">
        <v>274</v>
      </c>
      <c r="Z57">
        <v>842000</v>
      </c>
      <c r="AA57" t="s">
        <v>49</v>
      </c>
      <c r="AB57" t="s">
        <v>263</v>
      </c>
      <c r="AC57" t="s">
        <v>29</v>
      </c>
      <c r="AD57" t="s">
        <v>54</v>
      </c>
      <c r="AE57" t="s">
        <v>46</v>
      </c>
      <c r="AF57" t="s">
        <v>462</v>
      </c>
    </row>
    <row r="58" spans="1:32" x14ac:dyDescent="0.35">
      <c r="A58" t="s">
        <v>171</v>
      </c>
      <c r="B58" s="26">
        <v>32753</v>
      </c>
      <c r="C58">
        <v>35</v>
      </c>
      <c r="D58" s="26">
        <v>43235</v>
      </c>
      <c r="E58" t="s">
        <v>42</v>
      </c>
      <c r="F58" t="s">
        <v>43</v>
      </c>
      <c r="G58" t="s">
        <v>172</v>
      </c>
      <c r="H58" t="s">
        <v>25</v>
      </c>
      <c r="I58" t="s">
        <v>47</v>
      </c>
      <c r="J58">
        <v>770000</v>
      </c>
      <c r="K58">
        <v>71000</v>
      </c>
      <c r="L58">
        <v>841000</v>
      </c>
      <c r="M58">
        <v>11</v>
      </c>
      <c r="N58">
        <v>4.0999999999999996</v>
      </c>
      <c r="O58">
        <v>96.2</v>
      </c>
      <c r="P58">
        <v>2</v>
      </c>
      <c r="Q58" t="s">
        <v>30</v>
      </c>
      <c r="R58" t="s">
        <v>31</v>
      </c>
      <c r="S58">
        <v>45066</v>
      </c>
      <c r="T58" t="s">
        <v>32</v>
      </c>
      <c r="U58" t="s">
        <v>380</v>
      </c>
      <c r="V58" t="s">
        <v>313</v>
      </c>
      <c r="W58" t="s">
        <v>553</v>
      </c>
      <c r="X58" t="s">
        <v>554</v>
      </c>
      <c r="Y58" t="s">
        <v>274</v>
      </c>
      <c r="Z58">
        <v>841000</v>
      </c>
      <c r="AA58" t="s">
        <v>49</v>
      </c>
      <c r="AB58" t="s">
        <v>263</v>
      </c>
      <c r="AC58" t="s">
        <v>29</v>
      </c>
      <c r="AD58" t="s">
        <v>26</v>
      </c>
      <c r="AE58" t="s">
        <v>27</v>
      </c>
      <c r="AF58" t="s">
        <v>462</v>
      </c>
    </row>
    <row r="59" spans="1:32" x14ac:dyDescent="0.35">
      <c r="A59" t="s">
        <v>187</v>
      </c>
      <c r="B59" s="26">
        <v>32919</v>
      </c>
      <c r="C59">
        <v>34</v>
      </c>
      <c r="D59" s="26">
        <v>43356</v>
      </c>
      <c r="E59" t="s">
        <v>22</v>
      </c>
      <c r="F59" t="s">
        <v>58</v>
      </c>
      <c r="G59" t="s">
        <v>188</v>
      </c>
      <c r="H59" t="s">
        <v>25</v>
      </c>
      <c r="I59" t="s">
        <v>61</v>
      </c>
      <c r="J59">
        <v>760000</v>
      </c>
      <c r="K59">
        <v>72000</v>
      </c>
      <c r="L59">
        <v>832000</v>
      </c>
      <c r="M59">
        <v>11</v>
      </c>
      <c r="N59">
        <v>4.0999999999999996</v>
      </c>
      <c r="O59">
        <v>96.4</v>
      </c>
      <c r="P59">
        <v>2</v>
      </c>
      <c r="Q59" t="s">
        <v>30</v>
      </c>
      <c r="R59" t="s">
        <v>31</v>
      </c>
      <c r="S59">
        <v>45189</v>
      </c>
      <c r="T59" t="s">
        <v>32</v>
      </c>
      <c r="U59" t="s">
        <v>388</v>
      </c>
      <c r="V59" t="s">
        <v>311</v>
      </c>
      <c r="W59" t="s">
        <v>555</v>
      </c>
      <c r="X59" t="s">
        <v>556</v>
      </c>
      <c r="Y59" t="s">
        <v>273</v>
      </c>
      <c r="Z59">
        <v>832000</v>
      </c>
      <c r="AA59" t="s">
        <v>49</v>
      </c>
      <c r="AB59" t="s">
        <v>263</v>
      </c>
      <c r="AC59" t="s">
        <v>40</v>
      </c>
      <c r="AD59" t="s">
        <v>80</v>
      </c>
      <c r="AE59" t="s">
        <v>38</v>
      </c>
      <c r="AF59" t="s">
        <v>462</v>
      </c>
    </row>
    <row r="60" spans="1:32" x14ac:dyDescent="0.35">
      <c r="A60" t="s">
        <v>237</v>
      </c>
      <c r="B60" s="26">
        <v>33748</v>
      </c>
      <c r="C60">
        <v>32</v>
      </c>
      <c r="D60" s="26">
        <v>44062</v>
      </c>
      <c r="E60" t="s">
        <v>57</v>
      </c>
      <c r="F60" t="s">
        <v>52</v>
      </c>
      <c r="G60" t="s">
        <v>238</v>
      </c>
      <c r="H60" t="s">
        <v>25</v>
      </c>
      <c r="I60" t="s">
        <v>55</v>
      </c>
      <c r="J60">
        <v>760000</v>
      </c>
      <c r="K60">
        <v>72000</v>
      </c>
      <c r="L60">
        <v>832000</v>
      </c>
      <c r="M60">
        <v>8</v>
      </c>
      <c r="N60">
        <v>4.2</v>
      </c>
      <c r="O60">
        <v>96.9</v>
      </c>
      <c r="P60">
        <v>2</v>
      </c>
      <c r="Q60" t="s">
        <v>30</v>
      </c>
      <c r="R60" t="s">
        <v>31</v>
      </c>
      <c r="S60" t="s">
        <v>50</v>
      </c>
      <c r="T60" t="s">
        <v>32</v>
      </c>
      <c r="U60" t="s">
        <v>419</v>
      </c>
      <c r="V60" t="s">
        <v>307</v>
      </c>
      <c r="W60" t="s">
        <v>557</v>
      </c>
      <c r="X60" t="s">
        <v>558</v>
      </c>
      <c r="Y60" t="s">
        <v>272</v>
      </c>
      <c r="Z60">
        <v>832000</v>
      </c>
      <c r="AA60" t="s">
        <v>49</v>
      </c>
      <c r="AB60" t="s">
        <v>264</v>
      </c>
      <c r="AC60" t="s">
        <v>29</v>
      </c>
      <c r="AD60" t="s">
        <v>75</v>
      </c>
      <c r="AE60" t="s">
        <v>46</v>
      </c>
      <c r="AF60" t="s">
        <v>462</v>
      </c>
    </row>
    <row r="61" spans="1:32" x14ac:dyDescent="0.35">
      <c r="A61" t="s">
        <v>147</v>
      </c>
      <c r="B61" s="26">
        <v>32579</v>
      </c>
      <c r="C61">
        <v>35</v>
      </c>
      <c r="D61" s="26">
        <v>42964</v>
      </c>
      <c r="E61" t="s">
        <v>22</v>
      </c>
      <c r="F61" t="s">
        <v>43</v>
      </c>
      <c r="G61" t="s">
        <v>148</v>
      </c>
      <c r="H61" t="s">
        <v>25</v>
      </c>
      <c r="I61" t="s">
        <v>47</v>
      </c>
      <c r="J61">
        <v>760000</v>
      </c>
      <c r="K61">
        <v>70000</v>
      </c>
      <c r="L61">
        <v>830000</v>
      </c>
      <c r="M61">
        <v>12</v>
      </c>
      <c r="N61">
        <v>4</v>
      </c>
      <c r="O61">
        <v>95.8</v>
      </c>
      <c r="P61">
        <v>2</v>
      </c>
      <c r="Q61" t="s">
        <v>30</v>
      </c>
      <c r="R61" t="s">
        <v>31</v>
      </c>
      <c r="S61">
        <v>44798</v>
      </c>
      <c r="T61" t="s">
        <v>32</v>
      </c>
      <c r="U61" t="s">
        <v>368</v>
      </c>
      <c r="V61" t="s">
        <v>288</v>
      </c>
      <c r="W61" t="s">
        <v>559</v>
      </c>
      <c r="X61" t="s">
        <v>560</v>
      </c>
      <c r="Y61" t="s">
        <v>274</v>
      </c>
      <c r="Z61">
        <v>830000</v>
      </c>
      <c r="AA61" t="s">
        <v>49</v>
      </c>
      <c r="AB61" t="s">
        <v>263</v>
      </c>
      <c r="AC61" t="s">
        <v>29</v>
      </c>
      <c r="AD61" t="s">
        <v>26</v>
      </c>
      <c r="AE61" t="s">
        <v>27</v>
      </c>
      <c r="AF61" t="s">
        <v>462</v>
      </c>
    </row>
    <row r="62" spans="1:32" x14ac:dyDescent="0.35">
      <c r="A62" t="s">
        <v>87</v>
      </c>
      <c r="B62" s="26">
        <v>32333</v>
      </c>
      <c r="C62">
        <v>36</v>
      </c>
      <c r="D62" s="26">
        <v>42981</v>
      </c>
      <c r="E62" t="s">
        <v>22</v>
      </c>
      <c r="F62" t="s">
        <v>43</v>
      </c>
      <c r="G62" t="s">
        <v>88</v>
      </c>
      <c r="H62" t="s">
        <v>25</v>
      </c>
      <c r="I62" t="s">
        <v>47</v>
      </c>
      <c r="J62">
        <v>750000</v>
      </c>
      <c r="K62">
        <v>68000</v>
      </c>
      <c r="L62">
        <v>818000</v>
      </c>
      <c r="M62">
        <v>12</v>
      </c>
      <c r="N62">
        <v>4</v>
      </c>
      <c r="O62">
        <v>96.8</v>
      </c>
      <c r="P62">
        <v>2</v>
      </c>
      <c r="Q62" t="s">
        <v>30</v>
      </c>
      <c r="R62" t="s">
        <v>31</v>
      </c>
      <c r="S62">
        <v>44819</v>
      </c>
      <c r="T62" t="s">
        <v>32</v>
      </c>
      <c r="U62" t="s">
        <v>328</v>
      </c>
      <c r="V62" t="s">
        <v>289</v>
      </c>
      <c r="W62" t="s">
        <v>561</v>
      </c>
      <c r="X62" t="s">
        <v>562</v>
      </c>
      <c r="Y62" t="s">
        <v>274</v>
      </c>
      <c r="Z62">
        <v>818000</v>
      </c>
      <c r="AA62" t="s">
        <v>49</v>
      </c>
      <c r="AB62" t="s">
        <v>263</v>
      </c>
      <c r="AC62" t="s">
        <v>29</v>
      </c>
      <c r="AD62" t="s">
        <v>37</v>
      </c>
      <c r="AE62" t="s">
        <v>38</v>
      </c>
      <c r="AF62" t="s">
        <v>462</v>
      </c>
    </row>
    <row r="63" spans="1:32" x14ac:dyDescent="0.35">
      <c r="A63" t="s">
        <v>195</v>
      </c>
      <c r="B63" s="26">
        <v>32512</v>
      </c>
      <c r="C63">
        <v>35</v>
      </c>
      <c r="D63" s="26">
        <v>43216</v>
      </c>
      <c r="E63" t="s">
        <v>69</v>
      </c>
      <c r="F63" t="s">
        <v>43</v>
      </c>
      <c r="G63" t="s">
        <v>196</v>
      </c>
      <c r="H63" t="s">
        <v>25</v>
      </c>
      <c r="I63" t="s">
        <v>47</v>
      </c>
      <c r="J63">
        <v>740000</v>
      </c>
      <c r="K63">
        <v>68000</v>
      </c>
      <c r="L63">
        <v>808000</v>
      </c>
      <c r="M63">
        <v>12</v>
      </c>
      <c r="N63">
        <v>4</v>
      </c>
      <c r="O63">
        <v>95.6</v>
      </c>
      <c r="P63">
        <v>2</v>
      </c>
      <c r="Q63" t="s">
        <v>30</v>
      </c>
      <c r="R63" t="s">
        <v>31</v>
      </c>
      <c r="S63">
        <v>45026</v>
      </c>
      <c r="T63" t="s">
        <v>32</v>
      </c>
      <c r="U63" t="s">
        <v>392</v>
      </c>
      <c r="V63" t="s">
        <v>310</v>
      </c>
      <c r="W63" t="s">
        <v>563</v>
      </c>
      <c r="X63" t="s">
        <v>564</v>
      </c>
      <c r="Y63" t="s">
        <v>274</v>
      </c>
      <c r="Z63">
        <v>808000</v>
      </c>
      <c r="AA63" t="s">
        <v>49</v>
      </c>
      <c r="AB63" t="s">
        <v>263</v>
      </c>
      <c r="AC63" t="s">
        <v>29</v>
      </c>
      <c r="AD63" t="s">
        <v>37</v>
      </c>
      <c r="AE63" t="s">
        <v>38</v>
      </c>
      <c r="AF63" t="s">
        <v>462</v>
      </c>
    </row>
    <row r="64" spans="1:32" x14ac:dyDescent="0.35">
      <c r="A64" t="s">
        <v>121</v>
      </c>
      <c r="B64" s="26">
        <v>33769</v>
      </c>
      <c r="C64">
        <v>32</v>
      </c>
      <c r="D64" s="26">
        <v>43940</v>
      </c>
      <c r="E64" t="s">
        <v>421</v>
      </c>
      <c r="F64" t="s">
        <v>23</v>
      </c>
      <c r="G64" t="s">
        <v>122</v>
      </c>
      <c r="H64" t="s">
        <v>25</v>
      </c>
      <c r="I64" t="s">
        <v>28</v>
      </c>
      <c r="J64">
        <v>740000</v>
      </c>
      <c r="K64">
        <v>68000</v>
      </c>
      <c r="L64">
        <v>808000</v>
      </c>
      <c r="M64">
        <v>8</v>
      </c>
      <c r="N64">
        <v>4.2</v>
      </c>
      <c r="O64">
        <v>97.2</v>
      </c>
      <c r="P64">
        <v>2</v>
      </c>
      <c r="Q64" t="s">
        <v>30</v>
      </c>
      <c r="R64" t="s">
        <v>31</v>
      </c>
      <c r="S64" t="s">
        <v>50</v>
      </c>
      <c r="T64" t="s">
        <v>32</v>
      </c>
      <c r="U64" t="s">
        <v>355</v>
      </c>
      <c r="V64" t="s">
        <v>316</v>
      </c>
      <c r="W64" t="s">
        <v>565</v>
      </c>
      <c r="X64" t="s">
        <v>566</v>
      </c>
      <c r="Y64" t="s">
        <v>269</v>
      </c>
      <c r="Z64">
        <v>808000</v>
      </c>
      <c r="AA64" t="s">
        <v>49</v>
      </c>
      <c r="AB64" t="s">
        <v>264</v>
      </c>
      <c r="AC64" t="s">
        <v>29</v>
      </c>
      <c r="AD64" t="s">
        <v>26</v>
      </c>
      <c r="AE64" t="s">
        <v>27</v>
      </c>
      <c r="AF64" t="s">
        <v>462</v>
      </c>
    </row>
    <row r="65" spans="1:32" x14ac:dyDescent="0.35">
      <c r="A65" t="s">
        <v>185</v>
      </c>
      <c r="B65" s="26">
        <v>33880</v>
      </c>
      <c r="C65">
        <v>32</v>
      </c>
      <c r="D65" s="26">
        <v>44164</v>
      </c>
      <c r="E65" t="s">
        <v>34</v>
      </c>
      <c r="F65" t="s">
        <v>43</v>
      </c>
      <c r="G65" t="s">
        <v>186</v>
      </c>
      <c r="H65" t="s">
        <v>25</v>
      </c>
      <c r="I65" t="s">
        <v>47</v>
      </c>
      <c r="J65">
        <v>730000</v>
      </c>
      <c r="K65">
        <v>68000</v>
      </c>
      <c r="L65">
        <v>798000</v>
      </c>
      <c r="M65">
        <v>8</v>
      </c>
      <c r="N65">
        <v>4</v>
      </c>
      <c r="O65">
        <v>95.9</v>
      </c>
      <c r="P65">
        <v>2</v>
      </c>
      <c r="Q65" t="s">
        <v>30</v>
      </c>
      <c r="R65" t="s">
        <v>31</v>
      </c>
      <c r="S65" t="s">
        <v>50</v>
      </c>
      <c r="T65" t="s">
        <v>32</v>
      </c>
      <c r="U65" t="s">
        <v>387</v>
      </c>
      <c r="V65" t="s">
        <v>307</v>
      </c>
      <c r="W65" t="s">
        <v>567</v>
      </c>
      <c r="X65" t="s">
        <v>568</v>
      </c>
      <c r="Y65" t="s">
        <v>274</v>
      </c>
      <c r="Z65">
        <v>798000</v>
      </c>
      <c r="AA65" t="s">
        <v>49</v>
      </c>
      <c r="AB65" t="s">
        <v>264</v>
      </c>
      <c r="AC65" t="s">
        <v>29</v>
      </c>
      <c r="AD65" t="s">
        <v>54</v>
      </c>
      <c r="AE65" t="s">
        <v>46</v>
      </c>
      <c r="AF65" t="s">
        <v>462</v>
      </c>
    </row>
    <row r="66" spans="1:32" x14ac:dyDescent="0.35">
      <c r="A66" t="s">
        <v>163</v>
      </c>
      <c r="B66" s="26">
        <v>33218</v>
      </c>
      <c r="C66">
        <v>34</v>
      </c>
      <c r="D66" s="26">
        <v>43542</v>
      </c>
      <c r="E66" t="s">
        <v>34</v>
      </c>
      <c r="F66" t="s">
        <v>58</v>
      </c>
      <c r="G66" t="s">
        <v>164</v>
      </c>
      <c r="H66" t="s">
        <v>25</v>
      </c>
      <c r="I66" t="s">
        <v>61</v>
      </c>
      <c r="J66">
        <v>720000</v>
      </c>
      <c r="K66">
        <v>68000</v>
      </c>
      <c r="L66">
        <v>788000</v>
      </c>
      <c r="M66">
        <v>10</v>
      </c>
      <c r="N66">
        <v>4</v>
      </c>
      <c r="O66">
        <v>95.4</v>
      </c>
      <c r="P66">
        <v>2</v>
      </c>
      <c r="Q66" t="s">
        <v>30</v>
      </c>
      <c r="R66" t="s">
        <v>49</v>
      </c>
      <c r="S66" t="s">
        <v>50</v>
      </c>
      <c r="T66" t="s">
        <v>32</v>
      </c>
      <c r="U66" t="s">
        <v>376</v>
      </c>
      <c r="V66" t="s">
        <v>303</v>
      </c>
      <c r="W66" t="s">
        <v>569</v>
      </c>
      <c r="X66" t="s">
        <v>570</v>
      </c>
      <c r="Y66" t="s">
        <v>273</v>
      </c>
      <c r="Z66">
        <v>788000</v>
      </c>
      <c r="AA66" t="s">
        <v>49</v>
      </c>
      <c r="AB66" t="s">
        <v>263</v>
      </c>
      <c r="AC66" t="s">
        <v>29</v>
      </c>
      <c r="AD66" t="s">
        <v>37</v>
      </c>
      <c r="AE66" t="s">
        <v>38</v>
      </c>
      <c r="AF66" t="s">
        <v>462</v>
      </c>
    </row>
    <row r="67" spans="1:32" x14ac:dyDescent="0.35">
      <c r="A67" t="s">
        <v>213</v>
      </c>
      <c r="B67" s="26">
        <v>34238</v>
      </c>
      <c r="C67">
        <v>31</v>
      </c>
      <c r="D67" s="26">
        <v>44367</v>
      </c>
      <c r="E67" t="s">
        <v>42</v>
      </c>
      <c r="F67" t="s">
        <v>52</v>
      </c>
      <c r="G67" t="s">
        <v>214</v>
      </c>
      <c r="H67" t="s">
        <v>25</v>
      </c>
      <c r="I67" t="s">
        <v>55</v>
      </c>
      <c r="J67">
        <v>720000</v>
      </c>
      <c r="K67">
        <v>68000</v>
      </c>
      <c r="L67">
        <v>788000</v>
      </c>
      <c r="M67">
        <v>6</v>
      </c>
      <c r="N67">
        <v>4.2</v>
      </c>
      <c r="O67">
        <v>96.8</v>
      </c>
      <c r="P67">
        <v>2</v>
      </c>
      <c r="Q67" t="s">
        <v>30</v>
      </c>
      <c r="R67" t="s">
        <v>31</v>
      </c>
      <c r="S67" t="s">
        <v>50</v>
      </c>
      <c r="T67" t="s">
        <v>32</v>
      </c>
      <c r="U67" t="s">
        <v>401</v>
      </c>
      <c r="V67" t="s">
        <v>314</v>
      </c>
      <c r="W67" t="s">
        <v>571</v>
      </c>
      <c r="X67" t="s">
        <v>572</v>
      </c>
      <c r="Y67" t="s">
        <v>272</v>
      </c>
      <c r="Z67">
        <v>788000</v>
      </c>
      <c r="AA67" t="s">
        <v>49</v>
      </c>
      <c r="AB67" t="s">
        <v>264</v>
      </c>
      <c r="AC67" t="s">
        <v>29</v>
      </c>
      <c r="AD67" t="s">
        <v>60</v>
      </c>
      <c r="AE67" t="s">
        <v>27</v>
      </c>
      <c r="AF67" t="s">
        <v>462</v>
      </c>
    </row>
    <row r="68" spans="1:32" x14ac:dyDescent="0.35">
      <c r="A68" t="s">
        <v>245</v>
      </c>
      <c r="B68" s="26">
        <v>34436</v>
      </c>
      <c r="C68">
        <v>30</v>
      </c>
      <c r="D68" s="26">
        <v>44892</v>
      </c>
      <c r="E68" t="s">
        <v>42</v>
      </c>
      <c r="F68" t="s">
        <v>58</v>
      </c>
      <c r="G68" t="s">
        <v>246</v>
      </c>
      <c r="H68" t="s">
        <v>25</v>
      </c>
      <c r="I68" t="s">
        <v>61</v>
      </c>
      <c r="J68">
        <v>720000</v>
      </c>
      <c r="K68">
        <v>68000</v>
      </c>
      <c r="L68">
        <v>788000</v>
      </c>
      <c r="M68">
        <v>5</v>
      </c>
      <c r="N68">
        <v>4</v>
      </c>
      <c r="O68">
        <v>95.7</v>
      </c>
      <c r="P68">
        <v>2</v>
      </c>
      <c r="Q68" t="s">
        <v>30</v>
      </c>
      <c r="R68" t="s">
        <v>49</v>
      </c>
      <c r="S68" t="s">
        <v>50</v>
      </c>
      <c r="T68" t="s">
        <v>32</v>
      </c>
      <c r="U68" t="s">
        <v>410</v>
      </c>
      <c r="V68" t="s">
        <v>302</v>
      </c>
      <c r="W68" t="s">
        <v>573</v>
      </c>
      <c r="X68" t="s">
        <v>574</v>
      </c>
      <c r="Y68" t="s">
        <v>273</v>
      </c>
      <c r="Z68">
        <v>788000</v>
      </c>
      <c r="AA68" t="s">
        <v>49</v>
      </c>
      <c r="AB68" t="s">
        <v>264</v>
      </c>
      <c r="AC68" t="s">
        <v>29</v>
      </c>
      <c r="AD68" t="s">
        <v>26</v>
      </c>
      <c r="AE68" t="s">
        <v>27</v>
      </c>
      <c r="AF68" t="s">
        <v>462</v>
      </c>
    </row>
    <row r="69" spans="1:32" x14ac:dyDescent="0.35">
      <c r="A69" t="s">
        <v>62</v>
      </c>
      <c r="B69" s="26">
        <v>33353</v>
      </c>
      <c r="C69">
        <v>33</v>
      </c>
      <c r="D69" s="26">
        <v>43730</v>
      </c>
      <c r="E69" t="s">
        <v>34</v>
      </c>
      <c r="F69" t="s">
        <v>23</v>
      </c>
      <c r="G69" t="s">
        <v>63</v>
      </c>
      <c r="H69" t="s">
        <v>25</v>
      </c>
      <c r="I69" t="s">
        <v>28</v>
      </c>
      <c r="J69">
        <v>720000</v>
      </c>
      <c r="K69">
        <v>65000</v>
      </c>
      <c r="L69">
        <v>785000</v>
      </c>
      <c r="M69">
        <v>9</v>
      </c>
      <c r="N69">
        <v>4.0999999999999996</v>
      </c>
      <c r="O69">
        <v>95.8</v>
      </c>
      <c r="P69">
        <v>2</v>
      </c>
      <c r="Q69" t="s">
        <v>30</v>
      </c>
      <c r="R69" t="s">
        <v>31</v>
      </c>
      <c r="S69" t="s">
        <v>50</v>
      </c>
      <c r="T69" t="s">
        <v>32</v>
      </c>
      <c r="U69" t="s">
        <v>339</v>
      </c>
      <c r="V69" t="s">
        <v>300</v>
      </c>
      <c r="W69" t="s">
        <v>575</v>
      </c>
      <c r="X69" t="s">
        <v>576</v>
      </c>
      <c r="Y69" t="s">
        <v>269</v>
      </c>
      <c r="Z69">
        <v>785000</v>
      </c>
      <c r="AA69" t="s">
        <v>49</v>
      </c>
      <c r="AB69" t="s">
        <v>264</v>
      </c>
      <c r="AC69" t="s">
        <v>29</v>
      </c>
      <c r="AD69" t="s">
        <v>26</v>
      </c>
      <c r="AE69" t="s">
        <v>27</v>
      </c>
      <c r="AF69" t="s">
        <v>462</v>
      </c>
    </row>
    <row r="70" spans="1:32" x14ac:dyDescent="0.35">
      <c r="A70" t="s">
        <v>113</v>
      </c>
      <c r="B70" s="26">
        <v>33354</v>
      </c>
      <c r="C70">
        <v>33</v>
      </c>
      <c r="D70" s="26">
        <v>43761</v>
      </c>
      <c r="E70" t="s">
        <v>22</v>
      </c>
      <c r="F70" t="s">
        <v>43</v>
      </c>
      <c r="G70" t="s">
        <v>114</v>
      </c>
      <c r="H70" t="s">
        <v>25</v>
      </c>
      <c r="I70" t="s">
        <v>47</v>
      </c>
      <c r="J70">
        <v>710000</v>
      </c>
      <c r="K70">
        <v>65000</v>
      </c>
      <c r="L70">
        <v>775000</v>
      </c>
      <c r="M70">
        <v>9</v>
      </c>
      <c r="N70">
        <v>4</v>
      </c>
      <c r="O70">
        <v>95.7</v>
      </c>
      <c r="P70">
        <v>2</v>
      </c>
      <c r="Q70" t="s">
        <v>30</v>
      </c>
      <c r="R70" t="s">
        <v>31</v>
      </c>
      <c r="S70" t="s">
        <v>50</v>
      </c>
      <c r="T70" t="s">
        <v>32</v>
      </c>
      <c r="U70" t="s">
        <v>351</v>
      </c>
      <c r="V70" t="s">
        <v>312</v>
      </c>
      <c r="W70" t="s">
        <v>577</v>
      </c>
      <c r="X70" t="s">
        <v>578</v>
      </c>
      <c r="Y70" t="s">
        <v>274</v>
      </c>
      <c r="Z70">
        <v>775000</v>
      </c>
      <c r="AA70" t="s">
        <v>49</v>
      </c>
      <c r="AB70" t="s">
        <v>264</v>
      </c>
      <c r="AC70" t="s">
        <v>29</v>
      </c>
      <c r="AD70" t="s">
        <v>75</v>
      </c>
      <c r="AE70" t="s">
        <v>46</v>
      </c>
      <c r="AF70" t="s">
        <v>462</v>
      </c>
    </row>
    <row r="71" spans="1:32" x14ac:dyDescent="0.35">
      <c r="A71" t="s">
        <v>253</v>
      </c>
      <c r="B71" s="26">
        <v>34213</v>
      </c>
      <c r="C71">
        <v>31</v>
      </c>
      <c r="D71" s="26">
        <v>44393</v>
      </c>
      <c r="E71" t="s">
        <v>22</v>
      </c>
      <c r="F71" t="s">
        <v>35</v>
      </c>
      <c r="G71" t="s">
        <v>254</v>
      </c>
      <c r="H71" t="s">
        <v>25</v>
      </c>
      <c r="I71" t="s">
        <v>39</v>
      </c>
      <c r="J71">
        <v>690000</v>
      </c>
      <c r="K71">
        <v>64000</v>
      </c>
      <c r="L71">
        <v>754000</v>
      </c>
      <c r="M71">
        <v>6</v>
      </c>
      <c r="N71">
        <v>4.0999999999999996</v>
      </c>
      <c r="O71">
        <v>96.4</v>
      </c>
      <c r="P71">
        <v>2</v>
      </c>
      <c r="Q71" t="s">
        <v>30</v>
      </c>
      <c r="R71" t="s">
        <v>31</v>
      </c>
      <c r="S71" t="s">
        <v>50</v>
      </c>
      <c r="T71" t="s">
        <v>32</v>
      </c>
      <c r="U71" t="s">
        <v>413</v>
      </c>
      <c r="V71" t="s">
        <v>300</v>
      </c>
      <c r="W71" t="s">
        <v>579</v>
      </c>
      <c r="X71" t="s">
        <v>580</v>
      </c>
      <c r="Y71" t="s">
        <v>270</v>
      </c>
      <c r="Z71">
        <v>754000</v>
      </c>
      <c r="AA71" t="s">
        <v>31</v>
      </c>
      <c r="AB71" t="s">
        <v>264</v>
      </c>
      <c r="AC71" t="s">
        <v>40</v>
      </c>
      <c r="AD71" t="s">
        <v>75</v>
      </c>
      <c r="AE71" t="s">
        <v>46</v>
      </c>
      <c r="AF71" t="s">
        <v>462</v>
      </c>
    </row>
    <row r="72" spans="1:32" x14ac:dyDescent="0.35">
      <c r="A72" t="s">
        <v>145</v>
      </c>
      <c r="B72" s="26">
        <v>33511</v>
      </c>
      <c r="C72">
        <v>33</v>
      </c>
      <c r="D72" s="26">
        <v>43762</v>
      </c>
      <c r="E72" t="s">
        <v>42</v>
      </c>
      <c r="F72" t="s">
        <v>35</v>
      </c>
      <c r="G72" t="s">
        <v>146</v>
      </c>
      <c r="H72" t="s">
        <v>25</v>
      </c>
      <c r="I72" t="s">
        <v>39</v>
      </c>
      <c r="J72">
        <v>690000</v>
      </c>
      <c r="K72">
        <v>62000</v>
      </c>
      <c r="L72">
        <v>752000</v>
      </c>
      <c r="M72">
        <v>9</v>
      </c>
      <c r="N72">
        <v>4.0999999999999996</v>
      </c>
      <c r="O72">
        <v>96.3</v>
      </c>
      <c r="P72">
        <v>2</v>
      </c>
      <c r="Q72" t="s">
        <v>30</v>
      </c>
      <c r="R72" t="s">
        <v>31</v>
      </c>
      <c r="S72" t="s">
        <v>50</v>
      </c>
      <c r="T72" t="s">
        <v>32</v>
      </c>
      <c r="U72" t="s">
        <v>367</v>
      </c>
      <c r="V72" t="s">
        <v>285</v>
      </c>
      <c r="W72" t="s">
        <v>581</v>
      </c>
      <c r="X72" t="s">
        <v>582</v>
      </c>
      <c r="Y72" t="s">
        <v>270</v>
      </c>
      <c r="Z72">
        <v>752000</v>
      </c>
      <c r="AA72" t="s">
        <v>31</v>
      </c>
      <c r="AB72" t="s">
        <v>264</v>
      </c>
      <c r="AC72" t="s">
        <v>40</v>
      </c>
      <c r="AD72" t="s">
        <v>45</v>
      </c>
      <c r="AE72" t="s">
        <v>46</v>
      </c>
      <c r="AF72" t="s">
        <v>462</v>
      </c>
    </row>
    <row r="73" spans="1:32" x14ac:dyDescent="0.35">
      <c r="A73" t="s">
        <v>81</v>
      </c>
      <c r="B73" s="26">
        <v>33377</v>
      </c>
      <c r="C73">
        <v>33</v>
      </c>
      <c r="D73" s="26">
        <v>43565</v>
      </c>
      <c r="E73" t="s">
        <v>42</v>
      </c>
      <c r="F73" t="s">
        <v>58</v>
      </c>
      <c r="G73" t="s">
        <v>82</v>
      </c>
      <c r="H73" t="s">
        <v>25</v>
      </c>
      <c r="I73" t="s">
        <v>61</v>
      </c>
      <c r="J73">
        <v>690000</v>
      </c>
      <c r="K73">
        <v>62000</v>
      </c>
      <c r="L73">
        <v>752000</v>
      </c>
      <c r="M73">
        <v>9</v>
      </c>
      <c r="N73">
        <v>3.7</v>
      </c>
      <c r="O73">
        <v>92.8</v>
      </c>
      <c r="P73">
        <v>1</v>
      </c>
      <c r="Q73" t="s">
        <v>48</v>
      </c>
      <c r="R73" t="s">
        <v>72</v>
      </c>
      <c r="S73" t="s">
        <v>50</v>
      </c>
      <c r="T73" t="s">
        <v>32</v>
      </c>
      <c r="U73" t="s">
        <v>325</v>
      </c>
      <c r="V73" t="s">
        <v>286</v>
      </c>
      <c r="W73" t="s">
        <v>583</v>
      </c>
      <c r="X73" t="s">
        <v>584</v>
      </c>
      <c r="Y73" t="s">
        <v>273</v>
      </c>
      <c r="Z73">
        <v>752000</v>
      </c>
      <c r="AA73" t="s">
        <v>31</v>
      </c>
      <c r="AB73" t="s">
        <v>264</v>
      </c>
      <c r="AC73" t="s">
        <v>40</v>
      </c>
      <c r="AD73" t="s">
        <v>60</v>
      </c>
      <c r="AE73" t="s">
        <v>27</v>
      </c>
      <c r="AF73" t="s">
        <v>462</v>
      </c>
    </row>
    <row r="74" spans="1:32" x14ac:dyDescent="0.35">
      <c r="A74" t="s">
        <v>205</v>
      </c>
      <c r="B74" s="26">
        <v>34492</v>
      </c>
      <c r="C74">
        <v>30</v>
      </c>
      <c r="D74" s="26">
        <v>44796</v>
      </c>
      <c r="E74" t="s">
        <v>69</v>
      </c>
      <c r="F74" t="s">
        <v>23</v>
      </c>
      <c r="G74" t="s">
        <v>206</v>
      </c>
      <c r="H74" t="s">
        <v>25</v>
      </c>
      <c r="I74" t="s">
        <v>28</v>
      </c>
      <c r="J74">
        <v>680000</v>
      </c>
      <c r="K74">
        <v>62000</v>
      </c>
      <c r="L74">
        <v>742000</v>
      </c>
      <c r="M74">
        <v>5</v>
      </c>
      <c r="N74">
        <v>4</v>
      </c>
      <c r="O74">
        <v>95.2</v>
      </c>
      <c r="P74">
        <v>2</v>
      </c>
      <c r="Q74" t="s">
        <v>30</v>
      </c>
      <c r="R74" t="s">
        <v>31</v>
      </c>
      <c r="S74" t="s">
        <v>50</v>
      </c>
      <c r="T74" t="s">
        <v>32</v>
      </c>
      <c r="U74" t="s">
        <v>397</v>
      </c>
      <c r="V74" t="s">
        <v>305</v>
      </c>
      <c r="W74" t="s">
        <v>585</v>
      </c>
      <c r="X74" t="s">
        <v>586</v>
      </c>
      <c r="Y74" t="s">
        <v>269</v>
      </c>
      <c r="Z74">
        <v>742000</v>
      </c>
      <c r="AA74" t="s">
        <v>31</v>
      </c>
      <c r="AB74" t="s">
        <v>264</v>
      </c>
      <c r="AC74" t="s">
        <v>29</v>
      </c>
      <c r="AD74" t="s">
        <v>80</v>
      </c>
      <c r="AE74" t="s">
        <v>38</v>
      </c>
      <c r="AF74" t="s">
        <v>462</v>
      </c>
    </row>
    <row r="75" spans="1:32" x14ac:dyDescent="0.35">
      <c r="A75" t="s">
        <v>99</v>
      </c>
      <c r="B75" s="26">
        <v>32552</v>
      </c>
      <c r="C75">
        <v>35</v>
      </c>
      <c r="D75" s="26">
        <v>43248</v>
      </c>
      <c r="E75" t="s">
        <v>42</v>
      </c>
      <c r="F75" t="s">
        <v>43</v>
      </c>
      <c r="G75" t="s">
        <v>100</v>
      </c>
      <c r="H75" t="s">
        <v>25</v>
      </c>
      <c r="I75" t="s">
        <v>47</v>
      </c>
      <c r="J75">
        <v>680000</v>
      </c>
      <c r="K75">
        <v>60000</v>
      </c>
      <c r="L75">
        <v>740000</v>
      </c>
      <c r="M75">
        <v>11</v>
      </c>
      <c r="N75">
        <v>3.8</v>
      </c>
      <c r="O75">
        <v>93.9</v>
      </c>
      <c r="P75">
        <v>1</v>
      </c>
      <c r="Q75" t="s">
        <v>48</v>
      </c>
      <c r="R75" t="s">
        <v>49</v>
      </c>
      <c r="S75" t="s">
        <v>50</v>
      </c>
      <c r="T75" t="s">
        <v>32</v>
      </c>
      <c r="U75" t="s">
        <v>344</v>
      </c>
      <c r="V75" t="s">
        <v>305</v>
      </c>
      <c r="W75" t="s">
        <v>445</v>
      </c>
      <c r="X75" t="s">
        <v>587</v>
      </c>
      <c r="Y75" t="s">
        <v>274</v>
      </c>
      <c r="Z75">
        <v>740000</v>
      </c>
      <c r="AA75" t="s">
        <v>31</v>
      </c>
      <c r="AB75" t="s">
        <v>263</v>
      </c>
      <c r="AC75" t="s">
        <v>40</v>
      </c>
      <c r="AD75" t="s">
        <v>26</v>
      </c>
      <c r="AE75" t="s">
        <v>27</v>
      </c>
      <c r="AF75" t="s">
        <v>462</v>
      </c>
    </row>
    <row r="76" spans="1:32" x14ac:dyDescent="0.35">
      <c r="A76" t="s">
        <v>137</v>
      </c>
      <c r="B76" s="26">
        <v>33954</v>
      </c>
      <c r="C76">
        <v>32</v>
      </c>
      <c r="D76" s="26">
        <v>44265</v>
      </c>
      <c r="E76" t="s">
        <v>22</v>
      </c>
      <c r="F76" t="s">
        <v>58</v>
      </c>
      <c r="G76" t="s">
        <v>138</v>
      </c>
      <c r="H76" t="s">
        <v>25</v>
      </c>
      <c r="I76" t="s">
        <v>61</v>
      </c>
      <c r="J76">
        <v>670000</v>
      </c>
      <c r="K76">
        <v>60000</v>
      </c>
      <c r="L76">
        <v>730000</v>
      </c>
      <c r="M76">
        <v>7</v>
      </c>
      <c r="N76">
        <v>3.9</v>
      </c>
      <c r="O76">
        <v>95</v>
      </c>
      <c r="P76">
        <v>1</v>
      </c>
      <c r="Q76" t="s">
        <v>30</v>
      </c>
      <c r="R76" t="s">
        <v>49</v>
      </c>
      <c r="S76" t="s">
        <v>50</v>
      </c>
      <c r="T76" t="s">
        <v>32</v>
      </c>
      <c r="U76" t="s">
        <v>363</v>
      </c>
      <c r="V76" t="s">
        <v>302</v>
      </c>
      <c r="W76" t="s">
        <v>588</v>
      </c>
      <c r="X76" t="s">
        <v>589</v>
      </c>
      <c r="Y76" t="s">
        <v>273</v>
      </c>
      <c r="Z76">
        <v>730000</v>
      </c>
      <c r="AA76" t="s">
        <v>31</v>
      </c>
      <c r="AB76" t="s">
        <v>264</v>
      </c>
      <c r="AC76" t="s">
        <v>29</v>
      </c>
      <c r="AD76" t="s">
        <v>54</v>
      </c>
      <c r="AE76" t="s">
        <v>46</v>
      </c>
      <c r="AF76" t="s">
        <v>462</v>
      </c>
    </row>
    <row r="77" spans="1:32" x14ac:dyDescent="0.35">
      <c r="A77" t="s">
        <v>225</v>
      </c>
      <c r="B77" s="26">
        <v>34312</v>
      </c>
      <c r="C77">
        <v>31</v>
      </c>
      <c r="D77" s="26">
        <v>44666</v>
      </c>
      <c r="E77" t="s">
        <v>42</v>
      </c>
      <c r="F77" t="s">
        <v>52</v>
      </c>
      <c r="G77" t="s">
        <v>226</v>
      </c>
      <c r="H77" t="s">
        <v>25</v>
      </c>
      <c r="I77" t="s">
        <v>55</v>
      </c>
      <c r="J77">
        <v>650000</v>
      </c>
      <c r="K77">
        <v>58000</v>
      </c>
      <c r="L77">
        <v>708000</v>
      </c>
      <c r="M77">
        <v>6</v>
      </c>
      <c r="N77">
        <v>3.9</v>
      </c>
      <c r="O77">
        <v>94.9</v>
      </c>
      <c r="P77">
        <v>1</v>
      </c>
      <c r="Q77" t="s">
        <v>30</v>
      </c>
      <c r="R77" t="s">
        <v>49</v>
      </c>
      <c r="S77" t="s">
        <v>50</v>
      </c>
      <c r="T77" t="s">
        <v>32</v>
      </c>
      <c r="U77" t="s">
        <v>407</v>
      </c>
      <c r="V77" t="s">
        <v>313</v>
      </c>
      <c r="W77" t="s">
        <v>590</v>
      </c>
      <c r="X77" t="s">
        <v>591</v>
      </c>
      <c r="Y77" t="s">
        <v>272</v>
      </c>
      <c r="Z77">
        <v>708000</v>
      </c>
      <c r="AA77" t="s">
        <v>31</v>
      </c>
      <c r="AB77" t="s">
        <v>264</v>
      </c>
      <c r="AC77" t="s">
        <v>40</v>
      </c>
      <c r="AD77" t="s">
        <v>60</v>
      </c>
      <c r="AE77" t="s">
        <v>27</v>
      </c>
      <c r="AF77" t="s">
        <v>462</v>
      </c>
    </row>
    <row r="78" spans="1:32" x14ac:dyDescent="0.35">
      <c r="A78" t="s">
        <v>51</v>
      </c>
      <c r="B78" s="26">
        <v>33852</v>
      </c>
      <c r="C78">
        <v>32</v>
      </c>
      <c r="D78" s="26">
        <v>43902</v>
      </c>
      <c r="E78" t="s">
        <v>22</v>
      </c>
      <c r="F78" t="s">
        <v>52</v>
      </c>
      <c r="G78" t="s">
        <v>53</v>
      </c>
      <c r="H78" t="s">
        <v>25</v>
      </c>
      <c r="I78" t="s">
        <v>55</v>
      </c>
      <c r="J78">
        <v>650000</v>
      </c>
      <c r="K78">
        <v>55000</v>
      </c>
      <c r="L78">
        <v>705000</v>
      </c>
      <c r="M78">
        <v>8</v>
      </c>
      <c r="N78">
        <v>4</v>
      </c>
      <c r="O78">
        <v>97.1</v>
      </c>
      <c r="P78">
        <v>2</v>
      </c>
      <c r="Q78" t="s">
        <v>30</v>
      </c>
      <c r="R78" t="s">
        <v>31</v>
      </c>
      <c r="S78" t="s">
        <v>50</v>
      </c>
      <c r="T78" t="s">
        <v>32</v>
      </c>
      <c r="U78" t="s">
        <v>337</v>
      </c>
      <c r="V78" t="s">
        <v>298</v>
      </c>
      <c r="W78" t="s">
        <v>592</v>
      </c>
      <c r="X78" t="s">
        <v>593</v>
      </c>
      <c r="Y78" t="s">
        <v>272</v>
      </c>
      <c r="Z78">
        <v>705000</v>
      </c>
      <c r="AA78" t="s">
        <v>31</v>
      </c>
      <c r="AB78" t="s">
        <v>264</v>
      </c>
      <c r="AC78" t="s">
        <v>29</v>
      </c>
      <c r="AD78" t="s">
        <v>54</v>
      </c>
      <c r="AE78" t="s">
        <v>46</v>
      </c>
      <c r="AF78" t="s">
        <v>462</v>
      </c>
    </row>
    <row r="79" spans="1:32" x14ac:dyDescent="0.35">
      <c r="A79" t="s">
        <v>197</v>
      </c>
      <c r="B79" s="26">
        <v>34228</v>
      </c>
      <c r="C79">
        <v>31</v>
      </c>
      <c r="D79" s="26">
        <v>44544</v>
      </c>
      <c r="E79" t="s">
        <v>42</v>
      </c>
      <c r="F79" t="s">
        <v>35</v>
      </c>
      <c r="G79" t="s">
        <v>198</v>
      </c>
      <c r="H79" t="s">
        <v>25</v>
      </c>
      <c r="I79" t="s">
        <v>39</v>
      </c>
      <c r="J79">
        <v>640000</v>
      </c>
      <c r="K79">
        <v>58000</v>
      </c>
      <c r="L79">
        <v>698000</v>
      </c>
      <c r="M79">
        <v>6</v>
      </c>
      <c r="N79">
        <v>4.0999999999999996</v>
      </c>
      <c r="O79">
        <v>96.1</v>
      </c>
      <c r="P79">
        <v>2</v>
      </c>
      <c r="Q79" t="s">
        <v>30</v>
      </c>
      <c r="R79" t="s">
        <v>31</v>
      </c>
      <c r="S79" t="s">
        <v>50</v>
      </c>
      <c r="T79" t="s">
        <v>32</v>
      </c>
      <c r="U79" t="s">
        <v>393</v>
      </c>
      <c r="V79" t="s">
        <v>302</v>
      </c>
      <c r="W79" t="s">
        <v>594</v>
      </c>
      <c r="X79" t="s">
        <v>595</v>
      </c>
      <c r="Y79" t="s">
        <v>270</v>
      </c>
      <c r="Z79">
        <v>698000</v>
      </c>
      <c r="AA79" t="s">
        <v>31</v>
      </c>
      <c r="AB79" t="s">
        <v>264</v>
      </c>
      <c r="AC79" t="s">
        <v>29</v>
      </c>
      <c r="AD79" t="s">
        <v>26</v>
      </c>
      <c r="AE79" t="s">
        <v>27</v>
      </c>
      <c r="AF79" t="s">
        <v>462</v>
      </c>
    </row>
    <row r="80" spans="1:32" x14ac:dyDescent="0.35">
      <c r="A80" t="s">
        <v>97</v>
      </c>
      <c r="B80" s="26">
        <v>33395</v>
      </c>
      <c r="C80">
        <v>33</v>
      </c>
      <c r="D80" s="26">
        <v>43788</v>
      </c>
      <c r="E80" t="s">
        <v>34</v>
      </c>
      <c r="F80" t="s">
        <v>65</v>
      </c>
      <c r="G80" t="s">
        <v>98</v>
      </c>
      <c r="H80" t="s">
        <v>25</v>
      </c>
      <c r="I80" t="s">
        <v>67</v>
      </c>
      <c r="J80">
        <v>620000</v>
      </c>
      <c r="K80">
        <v>58000</v>
      </c>
      <c r="L80">
        <v>678000</v>
      </c>
      <c r="M80">
        <v>8</v>
      </c>
      <c r="N80">
        <v>3.9</v>
      </c>
      <c r="O80">
        <v>94.7</v>
      </c>
      <c r="P80">
        <v>1</v>
      </c>
      <c r="Q80" t="s">
        <v>30</v>
      </c>
      <c r="R80" t="s">
        <v>49</v>
      </c>
      <c r="S80" t="s">
        <v>50</v>
      </c>
      <c r="T80" t="s">
        <v>32</v>
      </c>
      <c r="U80" t="s">
        <v>333</v>
      </c>
      <c r="V80" t="s">
        <v>294</v>
      </c>
      <c r="W80" t="s">
        <v>596</v>
      </c>
      <c r="X80" t="s">
        <v>597</v>
      </c>
      <c r="Y80" t="s">
        <v>271</v>
      </c>
      <c r="Z80">
        <v>779700</v>
      </c>
      <c r="AA80" t="s">
        <v>31</v>
      </c>
      <c r="AB80" t="s">
        <v>264</v>
      </c>
      <c r="AC80" t="s">
        <v>40</v>
      </c>
      <c r="AD80" t="s">
        <v>45</v>
      </c>
      <c r="AE80" t="s">
        <v>46</v>
      </c>
      <c r="AF80" t="s">
        <v>462</v>
      </c>
    </row>
    <row r="81" spans="1:32" x14ac:dyDescent="0.35">
      <c r="A81" t="s">
        <v>109</v>
      </c>
      <c r="B81" s="26">
        <v>34091</v>
      </c>
      <c r="C81">
        <v>31</v>
      </c>
      <c r="D81" s="26">
        <v>44391</v>
      </c>
      <c r="E81" t="s">
        <v>69</v>
      </c>
      <c r="F81" t="s">
        <v>35</v>
      </c>
      <c r="G81" t="s">
        <v>110</v>
      </c>
      <c r="H81" t="s">
        <v>25</v>
      </c>
      <c r="I81" t="s">
        <v>39</v>
      </c>
      <c r="J81">
        <v>620000</v>
      </c>
      <c r="K81">
        <v>55000</v>
      </c>
      <c r="L81">
        <v>675000</v>
      </c>
      <c r="M81">
        <v>6</v>
      </c>
      <c r="N81">
        <v>3.9</v>
      </c>
      <c r="O81">
        <v>94.5</v>
      </c>
      <c r="P81">
        <v>1</v>
      </c>
      <c r="Q81" t="s">
        <v>30</v>
      </c>
      <c r="R81" t="s">
        <v>49</v>
      </c>
      <c r="S81" t="s">
        <v>50</v>
      </c>
      <c r="T81" t="s">
        <v>32</v>
      </c>
      <c r="U81" t="s">
        <v>349</v>
      </c>
      <c r="V81" t="s">
        <v>310</v>
      </c>
      <c r="W81" t="s">
        <v>598</v>
      </c>
      <c r="X81" t="s">
        <v>599</v>
      </c>
      <c r="Y81" t="s">
        <v>270</v>
      </c>
      <c r="Z81">
        <v>675000</v>
      </c>
      <c r="AA81" t="s">
        <v>31</v>
      </c>
      <c r="AB81" t="s">
        <v>264</v>
      </c>
      <c r="AC81" t="s">
        <v>40</v>
      </c>
      <c r="AD81" t="s">
        <v>80</v>
      </c>
      <c r="AE81" t="s">
        <v>38</v>
      </c>
      <c r="AF81" t="s">
        <v>462</v>
      </c>
    </row>
    <row r="82" spans="1:32" x14ac:dyDescent="0.35">
      <c r="A82" t="s">
        <v>257</v>
      </c>
      <c r="B82" s="26">
        <v>34785</v>
      </c>
      <c r="C82">
        <v>29</v>
      </c>
      <c r="D82" s="26">
        <v>44950</v>
      </c>
      <c r="E82" t="s">
        <v>42</v>
      </c>
      <c r="F82" t="s">
        <v>23</v>
      </c>
      <c r="G82" t="s">
        <v>258</v>
      </c>
      <c r="H82" t="s">
        <v>25</v>
      </c>
      <c r="I82" t="s">
        <v>28</v>
      </c>
      <c r="J82">
        <v>620000</v>
      </c>
      <c r="K82">
        <v>55000</v>
      </c>
      <c r="L82">
        <v>675000</v>
      </c>
      <c r="M82">
        <v>4</v>
      </c>
      <c r="N82">
        <v>3.9</v>
      </c>
      <c r="O82">
        <v>94.3</v>
      </c>
      <c r="P82">
        <v>2</v>
      </c>
      <c r="Q82" t="s">
        <v>30</v>
      </c>
      <c r="R82" t="s">
        <v>49</v>
      </c>
      <c r="S82" t="s">
        <v>50</v>
      </c>
      <c r="T82" t="s">
        <v>32</v>
      </c>
      <c r="U82" t="s">
        <v>415</v>
      </c>
      <c r="V82" t="s">
        <v>306</v>
      </c>
      <c r="W82" t="s">
        <v>600</v>
      </c>
      <c r="X82" t="s">
        <v>601</v>
      </c>
      <c r="Y82" t="s">
        <v>269</v>
      </c>
      <c r="Z82">
        <v>675000</v>
      </c>
      <c r="AA82" t="s">
        <v>31</v>
      </c>
      <c r="AB82" t="s">
        <v>264</v>
      </c>
      <c r="AC82" t="s">
        <v>40</v>
      </c>
      <c r="AD82" t="s">
        <v>26</v>
      </c>
      <c r="AE82" t="s">
        <v>27</v>
      </c>
      <c r="AF82" t="s">
        <v>462</v>
      </c>
    </row>
    <row r="83" spans="1:32" x14ac:dyDescent="0.35">
      <c r="A83" t="s">
        <v>181</v>
      </c>
      <c r="B83" s="26">
        <v>34068</v>
      </c>
      <c r="C83">
        <v>31</v>
      </c>
      <c r="D83" s="26">
        <v>44585</v>
      </c>
      <c r="E83" t="s">
        <v>22</v>
      </c>
      <c r="F83" t="s">
        <v>35</v>
      </c>
      <c r="G83" t="s">
        <v>182</v>
      </c>
      <c r="H83" t="s">
        <v>25</v>
      </c>
      <c r="I83" t="s">
        <v>39</v>
      </c>
      <c r="J83">
        <v>590000</v>
      </c>
      <c r="K83">
        <v>52000</v>
      </c>
      <c r="L83">
        <v>642000</v>
      </c>
      <c r="M83">
        <v>6</v>
      </c>
      <c r="N83">
        <v>3.9</v>
      </c>
      <c r="O83">
        <v>94.6</v>
      </c>
      <c r="P83">
        <v>1</v>
      </c>
      <c r="Q83" t="s">
        <v>30</v>
      </c>
      <c r="R83" t="s">
        <v>49</v>
      </c>
      <c r="S83" t="s">
        <v>50</v>
      </c>
      <c r="T83" t="s">
        <v>32</v>
      </c>
      <c r="U83" t="s">
        <v>385</v>
      </c>
      <c r="V83" t="s">
        <v>287</v>
      </c>
      <c r="W83" t="s">
        <v>602</v>
      </c>
      <c r="X83" t="s">
        <v>603</v>
      </c>
      <c r="Y83" t="s">
        <v>270</v>
      </c>
      <c r="Z83">
        <v>642000</v>
      </c>
      <c r="AA83" t="s">
        <v>31</v>
      </c>
      <c r="AB83" t="s">
        <v>264</v>
      </c>
      <c r="AC83" t="s">
        <v>29</v>
      </c>
      <c r="AD83" t="s">
        <v>45</v>
      </c>
      <c r="AE83" t="s">
        <v>46</v>
      </c>
      <c r="AF83" t="s">
        <v>462</v>
      </c>
    </row>
    <row r="84" spans="1:32" x14ac:dyDescent="0.35">
      <c r="A84" t="s">
        <v>101</v>
      </c>
      <c r="B84" s="26">
        <v>34631</v>
      </c>
      <c r="C84">
        <v>30</v>
      </c>
      <c r="D84" s="26">
        <v>44820</v>
      </c>
      <c r="E84" t="s">
        <v>22</v>
      </c>
      <c r="F84" t="s">
        <v>23</v>
      </c>
      <c r="G84" t="s">
        <v>102</v>
      </c>
      <c r="H84" t="s">
        <v>25</v>
      </c>
      <c r="I84" t="s">
        <v>28</v>
      </c>
      <c r="J84">
        <v>590000</v>
      </c>
      <c r="K84">
        <v>52000</v>
      </c>
      <c r="L84">
        <v>642000</v>
      </c>
      <c r="M84">
        <v>5</v>
      </c>
      <c r="N84">
        <v>4</v>
      </c>
      <c r="O84">
        <v>95.3</v>
      </c>
      <c r="P84">
        <v>2</v>
      </c>
      <c r="Q84" t="s">
        <v>30</v>
      </c>
      <c r="R84" t="s">
        <v>31</v>
      </c>
      <c r="S84" t="s">
        <v>50</v>
      </c>
      <c r="T84" t="s">
        <v>32</v>
      </c>
      <c r="U84" t="s">
        <v>345</v>
      </c>
      <c r="V84" t="s">
        <v>306</v>
      </c>
      <c r="W84" t="s">
        <v>604</v>
      </c>
      <c r="X84" t="s">
        <v>605</v>
      </c>
      <c r="Y84" t="s">
        <v>269</v>
      </c>
      <c r="Z84">
        <v>642000</v>
      </c>
      <c r="AA84" t="s">
        <v>31</v>
      </c>
      <c r="AB84" t="s">
        <v>264</v>
      </c>
      <c r="AC84" t="s">
        <v>29</v>
      </c>
      <c r="AD84" t="s">
        <v>60</v>
      </c>
      <c r="AE84" t="s">
        <v>27</v>
      </c>
      <c r="AF84" t="s">
        <v>462</v>
      </c>
    </row>
    <row r="85" spans="1:32" x14ac:dyDescent="0.35">
      <c r="A85" t="s">
        <v>169</v>
      </c>
      <c r="B85" s="26">
        <v>33620</v>
      </c>
      <c r="C85">
        <v>32</v>
      </c>
      <c r="D85" s="26">
        <v>44040</v>
      </c>
      <c r="E85" t="s">
        <v>42</v>
      </c>
      <c r="F85" t="s">
        <v>65</v>
      </c>
      <c r="G85" t="s">
        <v>170</v>
      </c>
      <c r="H85" t="s">
        <v>25</v>
      </c>
      <c r="I85" t="s">
        <v>67</v>
      </c>
      <c r="J85">
        <v>580000</v>
      </c>
      <c r="K85">
        <v>52000</v>
      </c>
      <c r="L85">
        <v>632000</v>
      </c>
      <c r="M85">
        <v>8</v>
      </c>
      <c r="N85">
        <v>3.8</v>
      </c>
      <c r="O85">
        <v>93.9</v>
      </c>
      <c r="P85">
        <v>1</v>
      </c>
      <c r="Q85" t="s">
        <v>30</v>
      </c>
      <c r="R85" t="s">
        <v>49</v>
      </c>
      <c r="S85" t="s">
        <v>50</v>
      </c>
      <c r="T85" t="s">
        <v>32</v>
      </c>
      <c r="U85" t="s">
        <v>379</v>
      </c>
      <c r="V85" t="s">
        <v>300</v>
      </c>
      <c r="W85" t="s">
        <v>606</v>
      </c>
      <c r="X85" t="s">
        <v>607</v>
      </c>
      <c r="Y85" t="s">
        <v>271</v>
      </c>
      <c r="Z85">
        <v>726800</v>
      </c>
      <c r="AA85" t="s">
        <v>31</v>
      </c>
      <c r="AB85" t="s">
        <v>264</v>
      </c>
      <c r="AC85" t="s">
        <v>40</v>
      </c>
      <c r="AD85" t="s">
        <v>45</v>
      </c>
      <c r="AE85" t="s">
        <v>46</v>
      </c>
      <c r="AF85" t="s">
        <v>462</v>
      </c>
    </row>
    <row r="86" spans="1:32" x14ac:dyDescent="0.35">
      <c r="A86" t="s">
        <v>89</v>
      </c>
      <c r="B86" s="26">
        <v>33959</v>
      </c>
      <c r="C86">
        <v>32</v>
      </c>
      <c r="D86" s="26">
        <v>44000</v>
      </c>
      <c r="E86" t="s">
        <v>69</v>
      </c>
      <c r="F86" t="s">
        <v>35</v>
      </c>
      <c r="G86" t="s">
        <v>90</v>
      </c>
      <c r="H86" t="s">
        <v>25</v>
      </c>
      <c r="I86" t="s">
        <v>39</v>
      </c>
      <c r="J86">
        <v>580000</v>
      </c>
      <c r="K86">
        <v>50000</v>
      </c>
      <c r="L86">
        <v>630000</v>
      </c>
      <c r="M86">
        <v>7</v>
      </c>
      <c r="N86">
        <v>4.0999999999999996</v>
      </c>
      <c r="O86">
        <v>97.5</v>
      </c>
      <c r="P86">
        <v>2</v>
      </c>
      <c r="Q86" t="s">
        <v>30</v>
      </c>
      <c r="R86" t="s">
        <v>31</v>
      </c>
      <c r="S86" t="s">
        <v>50</v>
      </c>
      <c r="T86" t="s">
        <v>32</v>
      </c>
      <c r="U86" t="s">
        <v>329</v>
      </c>
      <c r="V86" t="s">
        <v>290</v>
      </c>
      <c r="W86" t="s">
        <v>608</v>
      </c>
      <c r="X86" t="s">
        <v>609</v>
      </c>
      <c r="Y86" t="s">
        <v>270</v>
      </c>
      <c r="Z86">
        <v>630000</v>
      </c>
      <c r="AA86" t="s">
        <v>31</v>
      </c>
      <c r="AB86" t="s">
        <v>264</v>
      </c>
      <c r="AC86" t="s">
        <v>29</v>
      </c>
      <c r="AD86" t="s">
        <v>26</v>
      </c>
      <c r="AE86" t="s">
        <v>27</v>
      </c>
      <c r="AF86" t="s">
        <v>462</v>
      </c>
    </row>
    <row r="87" spans="1:32" x14ac:dyDescent="0.35">
      <c r="A87" t="s">
        <v>141</v>
      </c>
      <c r="B87" s="26">
        <v>34553</v>
      </c>
      <c r="C87">
        <v>30</v>
      </c>
      <c r="D87" s="26">
        <v>44741</v>
      </c>
      <c r="E87" t="s">
        <v>22</v>
      </c>
      <c r="F87" t="s">
        <v>52</v>
      </c>
      <c r="G87" t="s">
        <v>142</v>
      </c>
      <c r="H87" t="s">
        <v>25</v>
      </c>
      <c r="I87" t="s">
        <v>55</v>
      </c>
      <c r="J87">
        <v>580000</v>
      </c>
      <c r="K87">
        <v>50000</v>
      </c>
      <c r="L87">
        <v>630000</v>
      </c>
      <c r="M87">
        <v>5</v>
      </c>
      <c r="N87">
        <v>4</v>
      </c>
      <c r="O87">
        <v>95.5</v>
      </c>
      <c r="P87">
        <v>1</v>
      </c>
      <c r="Q87" t="s">
        <v>30</v>
      </c>
      <c r="R87" t="s">
        <v>31</v>
      </c>
      <c r="S87" t="s">
        <v>50</v>
      </c>
      <c r="T87" t="s">
        <v>32</v>
      </c>
      <c r="U87" t="s">
        <v>365</v>
      </c>
      <c r="V87" t="s">
        <v>321</v>
      </c>
      <c r="W87" t="s">
        <v>610</v>
      </c>
      <c r="X87" t="s">
        <v>611</v>
      </c>
      <c r="Y87" t="s">
        <v>272</v>
      </c>
      <c r="Z87">
        <v>630000</v>
      </c>
      <c r="AA87" t="s">
        <v>31</v>
      </c>
      <c r="AB87" t="s">
        <v>264</v>
      </c>
      <c r="AC87" t="s">
        <v>29</v>
      </c>
      <c r="AD87" t="s">
        <v>60</v>
      </c>
      <c r="AE87" t="s">
        <v>27</v>
      </c>
      <c r="AF87" t="s">
        <v>462</v>
      </c>
    </row>
    <row r="88" spans="1:32" x14ac:dyDescent="0.35">
      <c r="A88" t="s">
        <v>76</v>
      </c>
      <c r="B88" s="26">
        <v>34619</v>
      </c>
      <c r="C88">
        <v>30</v>
      </c>
      <c r="D88" s="26">
        <v>44793</v>
      </c>
      <c r="E88" t="s">
        <v>22</v>
      </c>
      <c r="F88" t="s">
        <v>52</v>
      </c>
      <c r="G88" t="s">
        <v>77</v>
      </c>
      <c r="H88" t="s">
        <v>25</v>
      </c>
      <c r="I88" t="s">
        <v>55</v>
      </c>
      <c r="J88">
        <v>580000</v>
      </c>
      <c r="K88">
        <v>48000</v>
      </c>
      <c r="L88">
        <v>628000</v>
      </c>
      <c r="M88">
        <v>5</v>
      </c>
      <c r="N88">
        <v>4</v>
      </c>
      <c r="O88">
        <v>96.2</v>
      </c>
      <c r="P88">
        <v>2</v>
      </c>
      <c r="Q88" t="s">
        <v>30</v>
      </c>
      <c r="R88" t="s">
        <v>31</v>
      </c>
      <c r="S88" t="s">
        <v>50</v>
      </c>
      <c r="T88" t="s">
        <v>32</v>
      </c>
      <c r="U88" t="s">
        <v>343</v>
      </c>
      <c r="V88" t="s">
        <v>304</v>
      </c>
      <c r="W88" t="s">
        <v>612</v>
      </c>
      <c r="X88" t="s">
        <v>613</v>
      </c>
      <c r="Y88" t="s">
        <v>272</v>
      </c>
      <c r="Z88">
        <v>628000</v>
      </c>
      <c r="AA88" t="s">
        <v>31</v>
      </c>
      <c r="AB88" t="s">
        <v>264</v>
      </c>
      <c r="AC88" t="s">
        <v>40</v>
      </c>
      <c r="AD88" t="s">
        <v>26</v>
      </c>
      <c r="AE88" t="s">
        <v>27</v>
      </c>
      <c r="AF88" t="s">
        <v>462</v>
      </c>
    </row>
    <row r="89" spans="1:32" x14ac:dyDescent="0.35">
      <c r="A89" t="s">
        <v>165</v>
      </c>
      <c r="B89" s="26">
        <v>34447</v>
      </c>
      <c r="C89">
        <v>30</v>
      </c>
      <c r="D89" s="26">
        <v>44829</v>
      </c>
      <c r="E89" t="s">
        <v>42</v>
      </c>
      <c r="F89" t="s">
        <v>52</v>
      </c>
      <c r="G89" t="s">
        <v>166</v>
      </c>
      <c r="H89" t="s">
        <v>25</v>
      </c>
      <c r="I89" t="s">
        <v>55</v>
      </c>
      <c r="J89">
        <v>560000</v>
      </c>
      <c r="K89">
        <v>48000</v>
      </c>
      <c r="L89">
        <v>608000</v>
      </c>
      <c r="M89">
        <v>5</v>
      </c>
      <c r="N89">
        <v>3.9</v>
      </c>
      <c r="O89">
        <v>94.2</v>
      </c>
      <c r="P89">
        <v>2</v>
      </c>
      <c r="Q89" t="s">
        <v>30</v>
      </c>
      <c r="R89" t="s">
        <v>49</v>
      </c>
      <c r="S89" t="s">
        <v>50</v>
      </c>
      <c r="T89" t="s">
        <v>32</v>
      </c>
      <c r="U89" t="s">
        <v>377</v>
      </c>
      <c r="V89" t="s">
        <v>293</v>
      </c>
      <c r="W89" t="s">
        <v>614</v>
      </c>
      <c r="X89" t="s">
        <v>615</v>
      </c>
      <c r="Y89" t="s">
        <v>272</v>
      </c>
      <c r="Z89">
        <v>608000</v>
      </c>
      <c r="AA89" t="s">
        <v>31</v>
      </c>
      <c r="AB89" t="s">
        <v>264</v>
      </c>
      <c r="AC89" t="s">
        <v>29</v>
      </c>
      <c r="AD89" t="s">
        <v>60</v>
      </c>
      <c r="AE89" t="s">
        <v>27</v>
      </c>
      <c r="AF89" t="s">
        <v>462</v>
      </c>
    </row>
    <row r="90" spans="1:32" x14ac:dyDescent="0.35">
      <c r="A90" t="s">
        <v>125</v>
      </c>
      <c r="B90" s="26">
        <v>34339</v>
      </c>
      <c r="C90">
        <v>30</v>
      </c>
      <c r="D90" s="26">
        <v>44800</v>
      </c>
      <c r="E90" t="s">
        <v>22</v>
      </c>
      <c r="F90" t="s">
        <v>35</v>
      </c>
      <c r="G90" t="s">
        <v>126</v>
      </c>
      <c r="H90" t="s">
        <v>25</v>
      </c>
      <c r="I90" t="s">
        <v>39</v>
      </c>
      <c r="J90">
        <v>560000</v>
      </c>
      <c r="K90">
        <v>48000</v>
      </c>
      <c r="L90">
        <v>608000</v>
      </c>
      <c r="M90">
        <v>5</v>
      </c>
      <c r="N90">
        <v>3.9</v>
      </c>
      <c r="O90">
        <v>94.8</v>
      </c>
      <c r="P90">
        <v>1</v>
      </c>
      <c r="Q90" t="s">
        <v>30</v>
      </c>
      <c r="R90" t="s">
        <v>49</v>
      </c>
      <c r="S90" t="s">
        <v>50</v>
      </c>
      <c r="T90" t="s">
        <v>32</v>
      </c>
      <c r="U90" t="s">
        <v>357</v>
      </c>
      <c r="V90" t="s">
        <v>317</v>
      </c>
      <c r="W90" t="s">
        <v>616</v>
      </c>
      <c r="X90" t="s">
        <v>617</v>
      </c>
      <c r="Y90" t="s">
        <v>270</v>
      </c>
      <c r="Z90">
        <v>608000</v>
      </c>
      <c r="AA90" t="s">
        <v>31</v>
      </c>
      <c r="AB90" t="s">
        <v>264</v>
      </c>
      <c r="AC90" t="s">
        <v>29</v>
      </c>
      <c r="AD90" t="s">
        <v>80</v>
      </c>
      <c r="AE90" t="s">
        <v>38</v>
      </c>
      <c r="AF90" t="s">
        <v>462</v>
      </c>
    </row>
    <row r="91" spans="1:32" x14ac:dyDescent="0.35">
      <c r="A91" t="s">
        <v>189</v>
      </c>
      <c r="B91" s="26">
        <v>34482</v>
      </c>
      <c r="C91">
        <v>30</v>
      </c>
      <c r="D91" s="26">
        <v>44763</v>
      </c>
      <c r="E91" t="s">
        <v>69</v>
      </c>
      <c r="F91" t="s">
        <v>52</v>
      </c>
      <c r="G91" t="s">
        <v>190</v>
      </c>
      <c r="H91" t="s">
        <v>25</v>
      </c>
      <c r="I91" t="s">
        <v>55</v>
      </c>
      <c r="J91">
        <v>550000</v>
      </c>
      <c r="K91">
        <v>46000</v>
      </c>
      <c r="L91">
        <v>596000</v>
      </c>
      <c r="M91">
        <v>5</v>
      </c>
      <c r="N91">
        <v>3.8</v>
      </c>
      <c r="O91">
        <v>93.8</v>
      </c>
      <c r="P91">
        <v>1</v>
      </c>
      <c r="Q91" t="s">
        <v>30</v>
      </c>
      <c r="R91" t="s">
        <v>49</v>
      </c>
      <c r="S91" t="s">
        <v>50</v>
      </c>
      <c r="T91" t="s">
        <v>32</v>
      </c>
      <c r="U91" t="s">
        <v>389</v>
      </c>
      <c r="V91" t="s">
        <v>294</v>
      </c>
      <c r="W91" t="s">
        <v>618</v>
      </c>
      <c r="X91" t="s">
        <v>619</v>
      </c>
      <c r="Y91" t="s">
        <v>272</v>
      </c>
      <c r="Z91">
        <v>596000</v>
      </c>
      <c r="AA91" t="s">
        <v>31</v>
      </c>
      <c r="AB91" t="s">
        <v>264</v>
      </c>
      <c r="AC91" t="s">
        <v>29</v>
      </c>
      <c r="AD91" t="s">
        <v>75</v>
      </c>
      <c r="AE91" t="s">
        <v>46</v>
      </c>
      <c r="AF91" t="s">
        <v>462</v>
      </c>
    </row>
    <row r="92" spans="1:32" x14ac:dyDescent="0.35">
      <c r="A92" t="s">
        <v>117</v>
      </c>
      <c r="B92" s="26">
        <v>34931</v>
      </c>
      <c r="C92">
        <v>29</v>
      </c>
      <c r="D92" s="26">
        <v>44969</v>
      </c>
      <c r="E92" t="s">
        <v>34</v>
      </c>
      <c r="F92" t="s">
        <v>52</v>
      </c>
      <c r="G92" t="s">
        <v>118</v>
      </c>
      <c r="H92" t="s">
        <v>25</v>
      </c>
      <c r="I92" t="s">
        <v>55</v>
      </c>
      <c r="J92">
        <v>550000</v>
      </c>
      <c r="K92">
        <v>45000</v>
      </c>
      <c r="L92">
        <v>595000</v>
      </c>
      <c r="M92">
        <v>4</v>
      </c>
      <c r="N92">
        <v>3.8</v>
      </c>
      <c r="O92">
        <v>93.2</v>
      </c>
      <c r="P92">
        <v>1</v>
      </c>
      <c r="Q92" t="s">
        <v>30</v>
      </c>
      <c r="R92" t="s">
        <v>49</v>
      </c>
      <c r="S92" t="s">
        <v>50</v>
      </c>
      <c r="T92" t="s">
        <v>32</v>
      </c>
      <c r="U92" t="s">
        <v>353</v>
      </c>
      <c r="V92" t="s">
        <v>314</v>
      </c>
      <c r="W92" t="s">
        <v>620</v>
      </c>
      <c r="X92" t="s">
        <v>621</v>
      </c>
      <c r="Y92" t="s">
        <v>272</v>
      </c>
      <c r="Z92">
        <v>595000</v>
      </c>
      <c r="AA92" t="s">
        <v>31</v>
      </c>
      <c r="AB92" t="s">
        <v>264</v>
      </c>
      <c r="AC92" t="s">
        <v>15</v>
      </c>
      <c r="AD92" t="s">
        <v>37</v>
      </c>
      <c r="AE92" t="s">
        <v>38</v>
      </c>
      <c r="AF92" t="s">
        <v>462</v>
      </c>
    </row>
    <row r="93" spans="1:32" x14ac:dyDescent="0.35">
      <c r="A93" t="s">
        <v>149</v>
      </c>
      <c r="B93" s="26">
        <v>34875</v>
      </c>
      <c r="C93">
        <v>29</v>
      </c>
      <c r="D93" s="26">
        <v>44939</v>
      </c>
      <c r="E93" t="s">
        <v>57</v>
      </c>
      <c r="F93" t="s">
        <v>23</v>
      </c>
      <c r="G93" t="s">
        <v>150</v>
      </c>
      <c r="H93" t="s">
        <v>25</v>
      </c>
      <c r="I93" t="s">
        <v>28</v>
      </c>
      <c r="J93">
        <v>540000</v>
      </c>
      <c r="K93">
        <v>42000</v>
      </c>
      <c r="L93">
        <v>582000</v>
      </c>
      <c r="M93">
        <v>4</v>
      </c>
      <c r="N93">
        <v>3.8</v>
      </c>
      <c r="O93">
        <v>93.7</v>
      </c>
      <c r="P93">
        <v>1</v>
      </c>
      <c r="Q93" t="s">
        <v>30</v>
      </c>
      <c r="R93" t="s">
        <v>49</v>
      </c>
      <c r="S93" t="s">
        <v>50</v>
      </c>
      <c r="T93" t="s">
        <v>32</v>
      </c>
      <c r="U93" t="s">
        <v>369</v>
      </c>
      <c r="V93" t="s">
        <v>287</v>
      </c>
      <c r="W93" t="s">
        <v>622</v>
      </c>
      <c r="X93" t="s">
        <v>623</v>
      </c>
      <c r="Y93" t="s">
        <v>269</v>
      </c>
      <c r="Z93">
        <v>582000</v>
      </c>
      <c r="AA93" t="s">
        <v>31</v>
      </c>
      <c r="AB93" t="s">
        <v>264</v>
      </c>
      <c r="AC93" t="s">
        <v>40</v>
      </c>
      <c r="AD93" t="s">
        <v>37</v>
      </c>
      <c r="AE93" t="s">
        <v>38</v>
      </c>
      <c r="AF93" t="s">
        <v>462</v>
      </c>
    </row>
    <row r="94" spans="1:32" x14ac:dyDescent="0.35">
      <c r="A94" t="s">
        <v>201</v>
      </c>
      <c r="B94" s="26">
        <v>33827</v>
      </c>
      <c r="C94">
        <v>32</v>
      </c>
      <c r="D94" s="26">
        <v>43970</v>
      </c>
      <c r="E94" t="s">
        <v>34</v>
      </c>
      <c r="F94" t="s">
        <v>52</v>
      </c>
      <c r="G94" t="s">
        <v>202</v>
      </c>
      <c r="H94" t="s">
        <v>71</v>
      </c>
      <c r="I94" t="s">
        <v>55</v>
      </c>
      <c r="J94">
        <v>520000</v>
      </c>
      <c r="K94">
        <v>42000</v>
      </c>
      <c r="L94">
        <v>562000</v>
      </c>
      <c r="M94">
        <v>7</v>
      </c>
      <c r="N94">
        <v>3.7</v>
      </c>
      <c r="O94">
        <v>92.7</v>
      </c>
      <c r="P94">
        <v>1</v>
      </c>
      <c r="Q94" t="s">
        <v>48</v>
      </c>
      <c r="R94" t="s">
        <v>72</v>
      </c>
      <c r="S94" t="s">
        <v>50</v>
      </c>
      <c r="T94" t="s">
        <v>32</v>
      </c>
      <c r="U94" t="s">
        <v>395</v>
      </c>
      <c r="V94" t="s">
        <v>312</v>
      </c>
      <c r="W94" t="s">
        <v>624</v>
      </c>
      <c r="X94" t="s">
        <v>625</v>
      </c>
      <c r="Y94" t="s">
        <v>272</v>
      </c>
      <c r="Z94">
        <v>562000</v>
      </c>
      <c r="AA94" t="s">
        <v>31</v>
      </c>
      <c r="AB94" t="s">
        <v>264</v>
      </c>
      <c r="AC94" t="s">
        <v>40</v>
      </c>
      <c r="AD94" t="s">
        <v>60</v>
      </c>
      <c r="AE94" t="s">
        <v>27</v>
      </c>
      <c r="AF94" t="s">
        <v>462</v>
      </c>
    </row>
    <row r="95" spans="1:32" x14ac:dyDescent="0.35">
      <c r="A95" t="s">
        <v>85</v>
      </c>
      <c r="B95" s="26">
        <v>34774</v>
      </c>
      <c r="C95">
        <v>29</v>
      </c>
      <c r="D95" s="26">
        <v>44940</v>
      </c>
      <c r="E95" t="s">
        <v>421</v>
      </c>
      <c r="F95" t="s">
        <v>23</v>
      </c>
      <c r="G95" t="s">
        <v>86</v>
      </c>
      <c r="H95" t="s">
        <v>25</v>
      </c>
      <c r="I95" t="s">
        <v>28</v>
      </c>
      <c r="J95">
        <v>520000</v>
      </c>
      <c r="K95">
        <v>40000</v>
      </c>
      <c r="L95">
        <v>560000</v>
      </c>
      <c r="M95">
        <v>4</v>
      </c>
      <c r="N95">
        <v>3.8</v>
      </c>
      <c r="O95">
        <v>94</v>
      </c>
      <c r="P95">
        <v>1</v>
      </c>
      <c r="Q95" t="s">
        <v>30</v>
      </c>
      <c r="R95" t="s">
        <v>49</v>
      </c>
      <c r="S95" t="s">
        <v>50</v>
      </c>
      <c r="T95" t="s">
        <v>32</v>
      </c>
      <c r="U95" t="s">
        <v>327</v>
      </c>
      <c r="V95" t="s">
        <v>288</v>
      </c>
      <c r="W95" t="s">
        <v>626</v>
      </c>
      <c r="X95" t="s">
        <v>627</v>
      </c>
      <c r="Y95" t="s">
        <v>269</v>
      </c>
      <c r="Z95">
        <v>560000</v>
      </c>
      <c r="AA95" t="s">
        <v>31</v>
      </c>
      <c r="AB95" t="s">
        <v>264</v>
      </c>
      <c r="AC95" t="s">
        <v>40</v>
      </c>
      <c r="AD95" t="s">
        <v>45</v>
      </c>
      <c r="AE95" t="s">
        <v>46</v>
      </c>
      <c r="AF95" t="s">
        <v>462</v>
      </c>
    </row>
    <row r="96" spans="1:32" x14ac:dyDescent="0.35">
      <c r="A96" t="s">
        <v>133</v>
      </c>
      <c r="B96" s="26">
        <v>34284</v>
      </c>
      <c r="C96">
        <v>31</v>
      </c>
      <c r="D96" s="26">
        <v>44457</v>
      </c>
      <c r="E96" t="s">
        <v>57</v>
      </c>
      <c r="F96" t="s">
        <v>65</v>
      </c>
      <c r="G96" t="s">
        <v>134</v>
      </c>
      <c r="H96" t="s">
        <v>71</v>
      </c>
      <c r="I96" t="s">
        <v>67</v>
      </c>
      <c r="J96">
        <v>490000</v>
      </c>
      <c r="K96">
        <v>38000</v>
      </c>
      <c r="L96">
        <v>528000</v>
      </c>
      <c r="M96">
        <v>6</v>
      </c>
      <c r="N96">
        <v>3.7</v>
      </c>
      <c r="O96">
        <v>92.5</v>
      </c>
      <c r="P96">
        <v>1</v>
      </c>
      <c r="Q96" t="s">
        <v>48</v>
      </c>
      <c r="R96" t="s">
        <v>72</v>
      </c>
      <c r="S96" t="s">
        <v>50</v>
      </c>
      <c r="T96" t="s">
        <v>32</v>
      </c>
      <c r="U96" t="s">
        <v>361</v>
      </c>
      <c r="V96" t="s">
        <v>291</v>
      </c>
      <c r="W96" t="s">
        <v>628</v>
      </c>
      <c r="X96" t="s">
        <v>629</v>
      </c>
      <c r="Y96" t="s">
        <v>271</v>
      </c>
      <c r="Z96">
        <v>607200</v>
      </c>
      <c r="AA96" t="s">
        <v>31</v>
      </c>
      <c r="AB96" t="s">
        <v>264</v>
      </c>
      <c r="AC96" t="s">
        <v>29</v>
      </c>
      <c r="AD96" t="s">
        <v>26</v>
      </c>
      <c r="AE96" t="s">
        <v>27</v>
      </c>
      <c r="AF96" t="s">
        <v>462</v>
      </c>
    </row>
    <row r="97" spans="1:32" x14ac:dyDescent="0.35">
      <c r="A97" t="s">
        <v>173</v>
      </c>
      <c r="B97" s="26">
        <v>35023</v>
      </c>
      <c r="C97">
        <v>29</v>
      </c>
      <c r="D97" s="26">
        <v>44976</v>
      </c>
      <c r="E97" t="s">
        <v>42</v>
      </c>
      <c r="F97" t="s">
        <v>23</v>
      </c>
      <c r="G97" t="s">
        <v>174</v>
      </c>
      <c r="H97" t="s">
        <v>71</v>
      </c>
      <c r="I97" t="s">
        <v>28</v>
      </c>
      <c r="J97">
        <v>480000</v>
      </c>
      <c r="K97">
        <v>36000</v>
      </c>
      <c r="L97">
        <v>516000</v>
      </c>
      <c r="M97">
        <v>4</v>
      </c>
      <c r="N97">
        <v>3.7</v>
      </c>
      <c r="O97">
        <v>92.3</v>
      </c>
      <c r="P97">
        <v>1</v>
      </c>
      <c r="Q97" t="s">
        <v>48</v>
      </c>
      <c r="R97" t="s">
        <v>72</v>
      </c>
      <c r="S97" t="s">
        <v>50</v>
      </c>
      <c r="T97" t="s">
        <v>32</v>
      </c>
      <c r="U97" t="s">
        <v>381</v>
      </c>
      <c r="V97" t="s">
        <v>314</v>
      </c>
      <c r="W97" t="s">
        <v>630</v>
      </c>
      <c r="X97" t="s">
        <v>631</v>
      </c>
      <c r="Y97" t="s">
        <v>269</v>
      </c>
      <c r="Z97">
        <v>516000</v>
      </c>
      <c r="AA97" t="s">
        <v>31</v>
      </c>
      <c r="AB97" t="s">
        <v>264</v>
      </c>
      <c r="AC97" t="s">
        <v>40</v>
      </c>
      <c r="AD97" t="s">
        <v>80</v>
      </c>
      <c r="AE97" t="s">
        <v>38</v>
      </c>
      <c r="AF97" t="s">
        <v>462</v>
      </c>
    </row>
    <row r="98" spans="1:32" x14ac:dyDescent="0.35">
      <c r="A98" t="s">
        <v>68</v>
      </c>
      <c r="B98" s="26">
        <v>34008</v>
      </c>
      <c r="D98" s="26">
        <v>44333</v>
      </c>
      <c r="E98" t="s">
        <v>69</v>
      </c>
      <c r="F98" t="s">
        <v>35</v>
      </c>
      <c r="G98" t="s">
        <v>70</v>
      </c>
      <c r="H98" t="s">
        <v>71</v>
      </c>
      <c r="I98" t="s">
        <v>39</v>
      </c>
      <c r="J98">
        <v>480000</v>
      </c>
      <c r="K98">
        <v>35000</v>
      </c>
      <c r="L98">
        <v>515000</v>
      </c>
      <c r="M98">
        <v>6</v>
      </c>
      <c r="N98">
        <v>3.9</v>
      </c>
      <c r="O98">
        <v>93.5</v>
      </c>
      <c r="P98">
        <v>1</v>
      </c>
      <c r="Q98" t="s">
        <v>48</v>
      </c>
      <c r="R98" t="s">
        <v>72</v>
      </c>
      <c r="S98" t="s">
        <v>50</v>
      </c>
      <c r="T98" t="s">
        <v>32</v>
      </c>
      <c r="U98" t="s">
        <v>341</v>
      </c>
      <c r="V98" t="s">
        <v>302</v>
      </c>
      <c r="W98" t="s">
        <v>632</v>
      </c>
      <c r="X98" t="s">
        <v>633</v>
      </c>
      <c r="Y98" t="s">
        <v>270</v>
      </c>
      <c r="Z98">
        <v>515000</v>
      </c>
      <c r="AA98" t="s">
        <v>31</v>
      </c>
      <c r="AB98" t="s">
        <v>264</v>
      </c>
      <c r="AC98" t="s">
        <v>29</v>
      </c>
      <c r="AD98" t="s">
        <v>45</v>
      </c>
      <c r="AE98" t="s">
        <v>46</v>
      </c>
      <c r="AF98" t="s">
        <v>462</v>
      </c>
    </row>
    <row r="99" spans="1:32" x14ac:dyDescent="0.35">
      <c r="A99" t="s">
        <v>153</v>
      </c>
      <c r="B99" s="26">
        <v>33803</v>
      </c>
      <c r="C99">
        <v>32</v>
      </c>
      <c r="D99" s="26">
        <v>44181</v>
      </c>
      <c r="E99" t="s">
        <v>22</v>
      </c>
      <c r="F99" t="s">
        <v>52</v>
      </c>
      <c r="G99" t="s">
        <v>154</v>
      </c>
      <c r="H99" t="s">
        <v>71</v>
      </c>
      <c r="I99" t="s">
        <v>55</v>
      </c>
      <c r="J99">
        <v>470000</v>
      </c>
      <c r="K99">
        <v>35000</v>
      </c>
      <c r="L99">
        <v>505000</v>
      </c>
      <c r="M99">
        <v>7</v>
      </c>
      <c r="N99">
        <v>3.6</v>
      </c>
      <c r="O99">
        <v>91.8</v>
      </c>
      <c r="P99">
        <v>1</v>
      </c>
      <c r="Q99" t="s">
        <v>48</v>
      </c>
      <c r="R99" t="s">
        <v>72</v>
      </c>
      <c r="S99" t="s">
        <v>50</v>
      </c>
      <c r="T99" t="s">
        <v>32</v>
      </c>
      <c r="U99" t="s">
        <v>371</v>
      </c>
      <c r="V99" t="s">
        <v>290</v>
      </c>
      <c r="W99" t="s">
        <v>634</v>
      </c>
      <c r="X99" t="s">
        <v>635</v>
      </c>
      <c r="Y99" t="s">
        <v>272</v>
      </c>
      <c r="Z99">
        <v>505000</v>
      </c>
      <c r="AA99" t="s">
        <v>31</v>
      </c>
      <c r="AB99" t="s">
        <v>264</v>
      </c>
      <c r="AC99" t="s">
        <v>29</v>
      </c>
      <c r="AD99" t="s">
        <v>54</v>
      </c>
      <c r="AE99" t="s">
        <v>46</v>
      </c>
      <c r="AF99" t="s">
        <v>462</v>
      </c>
    </row>
    <row r="100" spans="1:32" x14ac:dyDescent="0.35">
      <c r="A100" t="s">
        <v>233</v>
      </c>
      <c r="B100" s="26">
        <v>34971</v>
      </c>
      <c r="C100">
        <v>29</v>
      </c>
      <c r="D100" s="26">
        <v>44979</v>
      </c>
      <c r="E100" t="s">
        <v>42</v>
      </c>
      <c r="F100" t="s">
        <v>35</v>
      </c>
      <c r="G100" t="s">
        <v>234</v>
      </c>
      <c r="H100" t="s">
        <v>71</v>
      </c>
      <c r="I100" t="s">
        <v>39</v>
      </c>
      <c r="J100">
        <v>460000</v>
      </c>
      <c r="K100">
        <v>34000</v>
      </c>
      <c r="L100">
        <v>494000</v>
      </c>
      <c r="M100">
        <v>4</v>
      </c>
      <c r="N100">
        <v>3.6</v>
      </c>
      <c r="O100">
        <v>91.5</v>
      </c>
      <c r="P100">
        <v>1</v>
      </c>
      <c r="Q100" t="s">
        <v>48</v>
      </c>
      <c r="R100" t="s">
        <v>72</v>
      </c>
      <c r="S100" t="s">
        <v>50</v>
      </c>
      <c r="T100" t="s">
        <v>32</v>
      </c>
      <c r="U100" t="s">
        <v>417</v>
      </c>
      <c r="V100" t="s">
        <v>286</v>
      </c>
      <c r="W100" t="s">
        <v>636</v>
      </c>
      <c r="X100" t="s">
        <v>637</v>
      </c>
      <c r="Y100" t="s">
        <v>270</v>
      </c>
      <c r="Z100">
        <v>494000</v>
      </c>
      <c r="AA100" t="s">
        <v>31</v>
      </c>
      <c r="AB100" t="s">
        <v>264</v>
      </c>
      <c r="AC100" t="s">
        <v>29</v>
      </c>
      <c r="AD100" t="s">
        <v>26</v>
      </c>
      <c r="AE100" t="s">
        <v>27</v>
      </c>
      <c r="AF100" t="s">
        <v>462</v>
      </c>
    </row>
    <row r="101" spans="1:32" x14ac:dyDescent="0.35">
      <c r="A101" t="s">
        <v>93</v>
      </c>
      <c r="B101" s="26">
        <v>34209</v>
      </c>
      <c r="C101">
        <v>31</v>
      </c>
      <c r="D101" s="26">
        <v>44249</v>
      </c>
      <c r="E101" t="s">
        <v>22</v>
      </c>
      <c r="F101" t="s">
        <v>52</v>
      </c>
      <c r="G101" t="s">
        <v>94</v>
      </c>
      <c r="H101" t="s">
        <v>71</v>
      </c>
      <c r="I101" t="s">
        <v>55</v>
      </c>
      <c r="J101">
        <v>450000</v>
      </c>
      <c r="K101">
        <v>32000</v>
      </c>
      <c r="L101">
        <v>482000</v>
      </c>
      <c r="M101">
        <v>6</v>
      </c>
      <c r="N101">
        <v>3.6</v>
      </c>
      <c r="O101">
        <v>91.2</v>
      </c>
      <c r="P101">
        <v>1</v>
      </c>
      <c r="Q101" t="s">
        <v>48</v>
      </c>
      <c r="R101" t="s">
        <v>72</v>
      </c>
      <c r="S101" t="s">
        <v>50</v>
      </c>
      <c r="T101" t="s">
        <v>32</v>
      </c>
      <c r="U101" t="s">
        <v>331</v>
      </c>
      <c r="V101" t="s">
        <v>292</v>
      </c>
      <c r="W101" t="s">
        <v>638</v>
      </c>
      <c r="X101" t="s">
        <v>639</v>
      </c>
      <c r="Y101" t="s">
        <v>272</v>
      </c>
      <c r="Z101">
        <v>482000</v>
      </c>
      <c r="AA101" t="s">
        <v>31</v>
      </c>
      <c r="AB101" t="s">
        <v>264</v>
      </c>
      <c r="AC101" t="s">
        <v>40</v>
      </c>
      <c r="AD101" t="s">
        <v>60</v>
      </c>
      <c r="AE101" t="s">
        <v>27</v>
      </c>
      <c r="AF101" t="s">
        <v>462</v>
      </c>
    </row>
    <row r="114" spans="2:3" x14ac:dyDescent="0.35">
      <c r="B114" s="16" t="s">
        <v>432</v>
      </c>
      <c r="C114" t="s">
        <v>435</v>
      </c>
    </row>
    <row r="115" spans="2:3" x14ac:dyDescent="0.35">
      <c r="B115" s="17" t="s">
        <v>272</v>
      </c>
      <c r="C115">
        <v>11326000</v>
      </c>
    </row>
    <row r="116" spans="2:3" x14ac:dyDescent="0.35">
      <c r="B116" s="17" t="s">
        <v>274</v>
      </c>
      <c r="C116">
        <v>15842000</v>
      </c>
    </row>
    <row r="117" spans="2:3" x14ac:dyDescent="0.35">
      <c r="B117" s="17" t="s">
        <v>270</v>
      </c>
      <c r="C117">
        <v>8643000</v>
      </c>
    </row>
    <row r="118" spans="2:3" x14ac:dyDescent="0.35">
      <c r="B118" s="17" t="s">
        <v>269</v>
      </c>
      <c r="C118">
        <v>20508000</v>
      </c>
    </row>
    <row r="119" spans="2:3" x14ac:dyDescent="0.35">
      <c r="B119" s="17" t="s">
        <v>273</v>
      </c>
      <c r="C119">
        <v>14605000</v>
      </c>
    </row>
    <row r="120" spans="2:3" x14ac:dyDescent="0.35">
      <c r="B120" s="17" t="s">
        <v>271</v>
      </c>
      <c r="C120">
        <v>15047000</v>
      </c>
    </row>
    <row r="121" spans="2:3" x14ac:dyDescent="0.35">
      <c r="B121" s="17" t="s">
        <v>433</v>
      </c>
      <c r="C121">
        <v>85971000</v>
      </c>
    </row>
    <row r="124" spans="2:3" x14ac:dyDescent="0.35">
      <c r="B124" s="17"/>
    </row>
    <row r="142" spans="2:3" x14ac:dyDescent="0.35">
      <c r="B142" s="48"/>
      <c r="C142" s="47"/>
    </row>
    <row r="149" spans="2:3" x14ac:dyDescent="0.35">
      <c r="B149" s="16" t="s">
        <v>432</v>
      </c>
      <c r="C149" t="s">
        <v>640</v>
      </c>
    </row>
    <row r="150" spans="2:3" x14ac:dyDescent="0.35">
      <c r="B150" s="17" t="s">
        <v>45</v>
      </c>
      <c r="C150">
        <v>17</v>
      </c>
    </row>
    <row r="151" spans="2:3" x14ac:dyDescent="0.35">
      <c r="B151" s="17" t="s">
        <v>75</v>
      </c>
      <c r="C151">
        <v>12</v>
      </c>
    </row>
    <row r="152" spans="2:3" x14ac:dyDescent="0.35">
      <c r="B152" s="17" t="s">
        <v>37</v>
      </c>
      <c r="C152">
        <v>13</v>
      </c>
    </row>
    <row r="153" spans="2:3" x14ac:dyDescent="0.35">
      <c r="B153" s="17" t="s">
        <v>54</v>
      </c>
      <c r="C153">
        <v>12</v>
      </c>
    </row>
    <row r="154" spans="2:3" x14ac:dyDescent="0.35">
      <c r="B154" s="17" t="s">
        <v>26</v>
      </c>
      <c r="C154">
        <v>18</v>
      </c>
    </row>
    <row r="155" spans="2:3" x14ac:dyDescent="0.35">
      <c r="B155" s="17" t="s">
        <v>80</v>
      </c>
      <c r="C155">
        <v>12</v>
      </c>
    </row>
    <row r="156" spans="2:3" x14ac:dyDescent="0.35">
      <c r="B156" s="17" t="s">
        <v>60</v>
      </c>
      <c r="C156">
        <v>16</v>
      </c>
    </row>
    <row r="157" spans="2:3" x14ac:dyDescent="0.35">
      <c r="B157" s="17" t="s">
        <v>433</v>
      </c>
      <c r="C157">
        <v>100</v>
      </c>
    </row>
    <row r="163" spans="2:4" x14ac:dyDescent="0.35">
      <c r="B163" s="16" t="s">
        <v>8</v>
      </c>
      <c r="C163" s="16" t="s">
        <v>7</v>
      </c>
      <c r="D163" t="s">
        <v>640</v>
      </c>
    </row>
    <row r="164" spans="2:4" x14ac:dyDescent="0.35">
      <c r="B164" t="s">
        <v>38</v>
      </c>
      <c r="C164" t="s">
        <v>37</v>
      </c>
      <c r="D164">
        <v>13</v>
      </c>
    </row>
    <row r="165" spans="2:4" x14ac:dyDescent="0.35">
      <c r="C165" t="s">
        <v>80</v>
      </c>
      <c r="D165">
        <v>11</v>
      </c>
    </row>
    <row r="166" spans="2:4" x14ac:dyDescent="0.35">
      <c r="B166" t="s">
        <v>46</v>
      </c>
      <c r="C166" t="s">
        <v>45</v>
      </c>
      <c r="D166">
        <v>16</v>
      </c>
    </row>
    <row r="167" spans="2:4" x14ac:dyDescent="0.35">
      <c r="C167" t="s">
        <v>75</v>
      </c>
      <c r="D167">
        <v>11</v>
      </c>
    </row>
    <row r="168" spans="2:4" x14ac:dyDescent="0.35">
      <c r="C168" t="s">
        <v>54</v>
      </c>
      <c r="D168">
        <v>11</v>
      </c>
    </row>
    <row r="169" spans="2:4" x14ac:dyDescent="0.35">
      <c r="C169" t="s">
        <v>672</v>
      </c>
      <c r="D169">
        <v>1</v>
      </c>
    </row>
    <row r="170" spans="2:4" x14ac:dyDescent="0.35">
      <c r="B170" t="s">
        <v>27</v>
      </c>
      <c r="C170" t="s">
        <v>26</v>
      </c>
      <c r="D170">
        <v>16</v>
      </c>
    </row>
    <row r="171" spans="2:4" x14ac:dyDescent="0.35">
      <c r="C171" t="s">
        <v>60</v>
      </c>
      <c r="D171">
        <v>15</v>
      </c>
    </row>
    <row r="175" spans="2:4" x14ac:dyDescent="0.35">
      <c r="B175" s="4" t="s">
        <v>673</v>
      </c>
    </row>
    <row r="178" spans="2:4" x14ac:dyDescent="0.35">
      <c r="B178" s="16" t="s">
        <v>432</v>
      </c>
      <c r="C178" t="s">
        <v>674</v>
      </c>
      <c r="D178" t="s">
        <v>640</v>
      </c>
    </row>
    <row r="179" spans="2:4" x14ac:dyDescent="0.35">
      <c r="B179" s="17" t="s">
        <v>654</v>
      </c>
      <c r="C179">
        <v>2</v>
      </c>
      <c r="D179" s="18">
        <v>0.02</v>
      </c>
    </row>
    <row r="180" spans="2:4" x14ac:dyDescent="0.35">
      <c r="B180" s="17" t="s">
        <v>655</v>
      </c>
      <c r="C180">
        <v>8</v>
      </c>
      <c r="D180" s="18">
        <v>0.1</v>
      </c>
    </row>
    <row r="181" spans="2:4" x14ac:dyDescent="0.35">
      <c r="B181" s="17" t="s">
        <v>656</v>
      </c>
      <c r="C181">
        <v>15</v>
      </c>
      <c r="D181" s="18">
        <v>0.25</v>
      </c>
    </row>
    <row r="182" spans="2:4" x14ac:dyDescent="0.35">
      <c r="B182" s="17" t="s">
        <v>657</v>
      </c>
      <c r="C182">
        <v>10</v>
      </c>
      <c r="D182" s="18">
        <v>0.35</v>
      </c>
    </row>
    <row r="183" spans="2:4" x14ac:dyDescent="0.35">
      <c r="B183" s="17" t="s">
        <v>658</v>
      </c>
      <c r="C183">
        <v>10</v>
      </c>
      <c r="D183" s="18">
        <v>0.45</v>
      </c>
    </row>
    <row r="184" spans="2:4" x14ac:dyDescent="0.35">
      <c r="B184" s="17" t="s">
        <v>659</v>
      </c>
      <c r="C184">
        <v>16</v>
      </c>
      <c r="D184" s="18">
        <v>0.61</v>
      </c>
    </row>
    <row r="185" spans="2:4" x14ac:dyDescent="0.35">
      <c r="B185" s="17" t="s">
        <v>660</v>
      </c>
      <c r="C185">
        <v>11</v>
      </c>
      <c r="D185" s="18">
        <v>0.72</v>
      </c>
    </row>
    <row r="186" spans="2:4" x14ac:dyDescent="0.35">
      <c r="B186" s="17" t="s">
        <v>661</v>
      </c>
      <c r="C186">
        <v>11</v>
      </c>
      <c r="D186" s="18">
        <v>0.83</v>
      </c>
    </row>
    <row r="187" spans="2:4" x14ac:dyDescent="0.35">
      <c r="B187" s="17" t="s">
        <v>662</v>
      </c>
      <c r="C187">
        <v>11</v>
      </c>
      <c r="D187" s="18">
        <v>0.94</v>
      </c>
    </row>
    <row r="188" spans="2:4" x14ac:dyDescent="0.35">
      <c r="B188" s="17" t="s">
        <v>663</v>
      </c>
      <c r="C188">
        <v>6</v>
      </c>
      <c r="D188" s="18">
        <v>1</v>
      </c>
    </row>
    <row r="189" spans="2:4" x14ac:dyDescent="0.35">
      <c r="B189" s="17" t="s">
        <v>433</v>
      </c>
      <c r="C189">
        <v>100</v>
      </c>
      <c r="D189" s="18"/>
    </row>
    <row r="193" spans="2:6" ht="15.5" x14ac:dyDescent="0.35">
      <c r="B193" s="28" t="s">
        <v>675</v>
      </c>
    </row>
    <row r="196" spans="2:6" x14ac:dyDescent="0.35">
      <c r="B196" s="16" t="s">
        <v>432</v>
      </c>
      <c r="C196" t="s">
        <v>676</v>
      </c>
      <c r="D196" t="s">
        <v>678</v>
      </c>
      <c r="E196" t="s">
        <v>679</v>
      </c>
      <c r="F196" t="s">
        <v>677</v>
      </c>
    </row>
    <row r="197" spans="2:6" x14ac:dyDescent="0.35">
      <c r="B197" s="17" t="s">
        <v>272</v>
      </c>
      <c r="C197" s="25">
        <v>11326000</v>
      </c>
      <c r="D197" s="25">
        <v>482000</v>
      </c>
      <c r="E197" s="25">
        <v>1015000</v>
      </c>
      <c r="F197" s="25">
        <v>707875</v>
      </c>
    </row>
    <row r="198" spans="2:6" x14ac:dyDescent="0.35">
      <c r="B198" s="17" t="s">
        <v>274</v>
      </c>
      <c r="C198" s="25">
        <v>15842000</v>
      </c>
      <c r="D198" s="25">
        <v>740000</v>
      </c>
      <c r="E198" s="25">
        <v>1615000</v>
      </c>
      <c r="F198" s="25">
        <v>931882.3529411765</v>
      </c>
    </row>
    <row r="199" spans="2:6" x14ac:dyDescent="0.35">
      <c r="B199" s="17" t="s">
        <v>270</v>
      </c>
      <c r="C199" s="25">
        <v>8643000</v>
      </c>
      <c r="D199" s="25">
        <v>494000</v>
      </c>
      <c r="E199" s="25">
        <v>1045000</v>
      </c>
      <c r="F199" s="25">
        <v>720250</v>
      </c>
    </row>
    <row r="200" spans="2:6" x14ac:dyDescent="0.35">
      <c r="B200" s="17" t="s">
        <v>269</v>
      </c>
      <c r="C200" s="25">
        <v>20508000</v>
      </c>
      <c r="D200" s="25">
        <v>516000</v>
      </c>
      <c r="E200" s="25">
        <v>1615000</v>
      </c>
      <c r="F200" s="25">
        <v>891652.17391304346</v>
      </c>
    </row>
    <row r="201" spans="2:6" x14ac:dyDescent="0.35">
      <c r="B201" s="17" t="s">
        <v>273</v>
      </c>
      <c r="C201" s="25">
        <v>14605000</v>
      </c>
      <c r="D201" s="25">
        <v>730000</v>
      </c>
      <c r="E201" s="25">
        <v>1220000</v>
      </c>
      <c r="F201" s="25">
        <v>912812.5</v>
      </c>
    </row>
    <row r="202" spans="2:6" x14ac:dyDescent="0.35">
      <c r="B202" s="17" t="s">
        <v>271</v>
      </c>
      <c r="C202" s="25">
        <v>15047000</v>
      </c>
      <c r="D202" s="25">
        <v>528000</v>
      </c>
      <c r="E202" s="25">
        <v>1538000</v>
      </c>
      <c r="F202" s="25">
        <v>940437.5</v>
      </c>
    </row>
    <row r="203" spans="2:6" x14ac:dyDescent="0.35">
      <c r="B203" s="17" t="s">
        <v>433</v>
      </c>
      <c r="C203">
        <v>85971000</v>
      </c>
      <c r="D203">
        <v>482000</v>
      </c>
      <c r="E203">
        <v>1615000</v>
      </c>
      <c r="F203">
        <v>859710</v>
      </c>
    </row>
    <row r="206" spans="2:6" x14ac:dyDescent="0.35">
      <c r="B206" s="29" t="s">
        <v>680</v>
      </c>
    </row>
    <row r="209" spans="2:6" x14ac:dyDescent="0.35">
      <c r="B209" s="16" t="s">
        <v>432</v>
      </c>
      <c r="C209" t="s">
        <v>434</v>
      </c>
      <c r="D209" t="s">
        <v>668</v>
      </c>
      <c r="E209" t="s">
        <v>667</v>
      </c>
      <c r="F209" t="s">
        <v>666</v>
      </c>
    </row>
    <row r="210" spans="2:6" x14ac:dyDescent="0.35">
      <c r="B210" s="17" t="s">
        <v>30</v>
      </c>
      <c r="C210">
        <v>9.3333333333333339</v>
      </c>
      <c r="D210">
        <v>2.2133333333333334</v>
      </c>
      <c r="E210">
        <v>96.541333333333341</v>
      </c>
      <c r="F210">
        <v>4.1853333333333316</v>
      </c>
    </row>
    <row r="211" spans="2:6" x14ac:dyDescent="0.35">
      <c r="B211" s="17" t="s">
        <v>48</v>
      </c>
      <c r="C211">
        <v>13.12</v>
      </c>
      <c r="D211">
        <v>2.44</v>
      </c>
      <c r="E211">
        <v>95.816000000000003</v>
      </c>
      <c r="F211">
        <v>4.1679999999999993</v>
      </c>
    </row>
    <row r="212" spans="2:6" x14ac:dyDescent="0.35">
      <c r="B212" s="17" t="s">
        <v>433</v>
      </c>
      <c r="C212">
        <v>10.28</v>
      </c>
      <c r="D212">
        <v>2.27</v>
      </c>
      <c r="E212">
        <v>96.36</v>
      </c>
      <c r="F212">
        <v>4.181</v>
      </c>
    </row>
    <row r="216" spans="2:6" x14ac:dyDescent="0.35">
      <c r="B216" s="4" t="s">
        <v>681</v>
      </c>
    </row>
    <row r="219" spans="2:6" x14ac:dyDescent="0.35">
      <c r="B219" s="16" t="s">
        <v>432</v>
      </c>
      <c r="C219" t="s">
        <v>640</v>
      </c>
    </row>
    <row r="220" spans="2:6" x14ac:dyDescent="0.35">
      <c r="B220" s="17" t="s">
        <v>682</v>
      </c>
      <c r="C220" s="45">
        <v>59</v>
      </c>
    </row>
    <row r="221" spans="2:6" x14ac:dyDescent="0.35">
      <c r="B221" s="17" t="s">
        <v>641</v>
      </c>
      <c r="C221" s="45">
        <v>41</v>
      </c>
    </row>
    <row r="222" spans="2:6" x14ac:dyDescent="0.35">
      <c r="B222" s="17" t="s">
        <v>433</v>
      </c>
      <c r="C222" s="45">
        <v>100</v>
      </c>
    </row>
    <row r="226" spans="2:7" x14ac:dyDescent="0.35">
      <c r="B226" s="16" t="s">
        <v>432</v>
      </c>
      <c r="C226" t="s">
        <v>664</v>
      </c>
    </row>
    <row r="227" spans="2:7" x14ac:dyDescent="0.35">
      <c r="B227" s="17" t="s">
        <v>671</v>
      </c>
      <c r="C227" s="24">
        <v>1023458.3333333334</v>
      </c>
    </row>
    <row r="228" spans="2:7" x14ac:dyDescent="0.35">
      <c r="B228" s="17" t="s">
        <v>670</v>
      </c>
      <c r="C228" s="24">
        <v>907486.48648648651</v>
      </c>
    </row>
    <row r="229" spans="2:7" x14ac:dyDescent="0.35">
      <c r="B229" s="17" t="s">
        <v>669</v>
      </c>
      <c r="C229" s="24">
        <v>688888.88888888888</v>
      </c>
    </row>
    <row r="230" spans="2:7" x14ac:dyDescent="0.35">
      <c r="B230" s="17" t="s">
        <v>433</v>
      </c>
      <c r="C230" s="45">
        <v>855051.54639175255</v>
      </c>
    </row>
    <row r="234" spans="2:7" ht="18.5" x14ac:dyDescent="0.45">
      <c r="B234" s="46"/>
      <c r="C234" s="46"/>
      <c r="D234" s="47"/>
      <c r="E234" s="47"/>
      <c r="F234" s="47"/>
      <c r="G234" s="47"/>
    </row>
    <row r="247" spans="3:4" x14ac:dyDescent="0.35">
      <c r="C247" t="s">
        <v>683</v>
      </c>
    </row>
    <row r="248" spans="3:4" ht="15.5" x14ac:dyDescent="0.35">
      <c r="C248" s="27" t="s">
        <v>684</v>
      </c>
    </row>
    <row r="250" spans="3:4" x14ac:dyDescent="0.35">
      <c r="C250" t="s">
        <v>422</v>
      </c>
      <c r="D250" s="22">
        <f>SUM(L2:L101)</f>
        <v>85971000</v>
      </c>
    </row>
    <row r="252" spans="3:4" x14ac:dyDescent="0.35">
      <c r="C252" t="s">
        <v>424</v>
      </c>
      <c r="D252">
        <f>COUNTA(A2:A101)</f>
        <v>100</v>
      </c>
    </row>
    <row r="254" spans="3:4" x14ac:dyDescent="0.35">
      <c r="C254" t="s">
        <v>685</v>
      </c>
      <c r="D254">
        <f>COUNTA(_xlfn.UNIQUE($Y$2:$Y$101))</f>
        <v>6</v>
      </c>
    </row>
    <row r="257" spans="3:4" ht="15.5" x14ac:dyDescent="0.35">
      <c r="C257" s="27" t="s">
        <v>686</v>
      </c>
    </row>
    <row r="259" spans="3:4" x14ac:dyDescent="0.35">
      <c r="C259" s="16" t="s">
        <v>432</v>
      </c>
      <c r="D259" t="s">
        <v>640</v>
      </c>
    </row>
    <row r="260" spans="3:4" x14ac:dyDescent="0.35">
      <c r="C260" s="17" t="s">
        <v>45</v>
      </c>
      <c r="D260" s="45">
        <v>17</v>
      </c>
    </row>
    <row r="261" spans="3:4" x14ac:dyDescent="0.35">
      <c r="C261" s="17" t="s">
        <v>75</v>
      </c>
      <c r="D261" s="45">
        <v>12</v>
      </c>
    </row>
    <row r="262" spans="3:4" x14ac:dyDescent="0.35">
      <c r="C262" s="17" t="s">
        <v>37</v>
      </c>
      <c r="D262" s="45">
        <v>13</v>
      </c>
    </row>
    <row r="263" spans="3:4" x14ac:dyDescent="0.35">
      <c r="C263" s="17" t="s">
        <v>54</v>
      </c>
      <c r="D263" s="45">
        <v>12</v>
      </c>
    </row>
    <row r="264" spans="3:4" x14ac:dyDescent="0.35">
      <c r="C264" s="17" t="s">
        <v>26</v>
      </c>
      <c r="D264" s="45">
        <v>18</v>
      </c>
    </row>
    <row r="265" spans="3:4" x14ac:dyDescent="0.35">
      <c r="C265" s="17" t="s">
        <v>80</v>
      </c>
      <c r="D265" s="45">
        <v>12</v>
      </c>
    </row>
    <row r="266" spans="3:4" x14ac:dyDescent="0.35">
      <c r="C266" s="17" t="s">
        <v>60</v>
      </c>
      <c r="D266" s="45">
        <v>16</v>
      </c>
    </row>
    <row r="267" spans="3:4" x14ac:dyDescent="0.35">
      <c r="C267" s="17" t="s">
        <v>433</v>
      </c>
      <c r="D267" s="45">
        <v>100</v>
      </c>
    </row>
    <row r="272" spans="3:4" ht="15.5" x14ac:dyDescent="0.35">
      <c r="C272" s="30" t="s">
        <v>687</v>
      </c>
    </row>
    <row r="275" spans="3:4" x14ac:dyDescent="0.35">
      <c r="C275" s="16" t="s">
        <v>432</v>
      </c>
      <c r="D275" t="s">
        <v>435</v>
      </c>
    </row>
    <row r="276" spans="3:4" x14ac:dyDescent="0.35">
      <c r="C276" s="17" t="s">
        <v>272</v>
      </c>
      <c r="D276" s="45">
        <v>11326000</v>
      </c>
    </row>
    <row r="277" spans="3:4" x14ac:dyDescent="0.35">
      <c r="C277" s="17" t="s">
        <v>274</v>
      </c>
      <c r="D277" s="45">
        <v>15842000</v>
      </c>
    </row>
    <row r="278" spans="3:4" x14ac:dyDescent="0.35">
      <c r="C278" s="17" t="s">
        <v>270</v>
      </c>
      <c r="D278" s="45">
        <v>8643000</v>
      </c>
    </row>
    <row r="279" spans="3:4" x14ac:dyDescent="0.35">
      <c r="C279" s="17" t="s">
        <v>269</v>
      </c>
      <c r="D279" s="45">
        <v>20508000</v>
      </c>
    </row>
    <row r="280" spans="3:4" x14ac:dyDescent="0.35">
      <c r="C280" s="17" t="s">
        <v>273</v>
      </c>
      <c r="D280" s="45">
        <v>14605000</v>
      </c>
    </row>
    <row r="281" spans="3:4" x14ac:dyDescent="0.35">
      <c r="C281" s="17" t="s">
        <v>271</v>
      </c>
      <c r="D281" s="45">
        <v>15047000</v>
      </c>
    </row>
    <row r="282" spans="3:4" x14ac:dyDescent="0.35">
      <c r="C282" s="17" t="s">
        <v>433</v>
      </c>
      <c r="D282" s="45">
        <v>85971000</v>
      </c>
    </row>
    <row r="286" spans="3:4" ht="15.5" x14ac:dyDescent="0.35">
      <c r="C286" s="30" t="s">
        <v>688</v>
      </c>
    </row>
    <row r="289" spans="3:4" x14ac:dyDescent="0.35">
      <c r="C289" s="16" t="s">
        <v>432</v>
      </c>
      <c r="D289" t="s">
        <v>640</v>
      </c>
    </row>
    <row r="290" spans="3:4" x14ac:dyDescent="0.35">
      <c r="C290" s="17" t="s">
        <v>642</v>
      </c>
      <c r="D290" s="45">
        <v>9</v>
      </c>
    </row>
    <row r="291" spans="3:4" x14ac:dyDescent="0.35">
      <c r="C291" s="17" t="s">
        <v>643</v>
      </c>
      <c r="D291" s="45">
        <v>7</v>
      </c>
    </row>
    <row r="292" spans="3:4" x14ac:dyDescent="0.35">
      <c r="C292" s="17" t="s">
        <v>644</v>
      </c>
      <c r="D292" s="45">
        <v>8</v>
      </c>
    </row>
    <row r="293" spans="3:4" x14ac:dyDescent="0.35">
      <c r="C293" s="17" t="s">
        <v>645</v>
      </c>
      <c r="D293" s="45">
        <v>8</v>
      </c>
    </row>
    <row r="294" spans="3:4" x14ac:dyDescent="0.35">
      <c r="C294" s="17" t="s">
        <v>646</v>
      </c>
      <c r="D294" s="45">
        <v>8</v>
      </c>
    </row>
    <row r="295" spans="3:4" x14ac:dyDescent="0.35">
      <c r="C295" s="17" t="s">
        <v>647</v>
      </c>
      <c r="D295" s="45">
        <v>8</v>
      </c>
    </row>
    <row r="296" spans="3:4" x14ac:dyDescent="0.35">
      <c r="C296" s="17" t="s">
        <v>648</v>
      </c>
      <c r="D296" s="45">
        <v>9</v>
      </c>
    </row>
    <row r="297" spans="3:4" x14ac:dyDescent="0.35">
      <c r="C297" s="17" t="s">
        <v>649</v>
      </c>
      <c r="D297" s="45">
        <v>8</v>
      </c>
    </row>
    <row r="298" spans="3:4" x14ac:dyDescent="0.35">
      <c r="C298" s="17" t="s">
        <v>650</v>
      </c>
      <c r="D298" s="45">
        <v>11</v>
      </c>
    </row>
    <row r="299" spans="3:4" x14ac:dyDescent="0.35">
      <c r="C299" s="17" t="s">
        <v>651</v>
      </c>
      <c r="D299" s="45">
        <v>7</v>
      </c>
    </row>
    <row r="300" spans="3:4" x14ac:dyDescent="0.35">
      <c r="C300" s="17" t="s">
        <v>652</v>
      </c>
      <c r="D300" s="45">
        <v>10</v>
      </c>
    </row>
    <row r="301" spans="3:4" x14ac:dyDescent="0.35">
      <c r="C301" s="17" t="s">
        <v>653</v>
      </c>
      <c r="D301" s="45">
        <v>7</v>
      </c>
    </row>
    <row r="305" spans="3:4" ht="15.5" x14ac:dyDescent="0.35">
      <c r="C305" s="30" t="s">
        <v>689</v>
      </c>
    </row>
    <row r="308" spans="3:4" x14ac:dyDescent="0.35">
      <c r="C308" s="16" t="s">
        <v>432</v>
      </c>
      <c r="D308" t="s">
        <v>640</v>
      </c>
    </row>
    <row r="309" spans="3:4" x14ac:dyDescent="0.35">
      <c r="C309" s="17" t="s">
        <v>57</v>
      </c>
      <c r="D309" s="45">
        <v>7</v>
      </c>
    </row>
    <row r="310" spans="3:4" x14ac:dyDescent="0.35">
      <c r="C310" s="17" t="s">
        <v>69</v>
      </c>
      <c r="D310" s="45">
        <v>13</v>
      </c>
    </row>
    <row r="311" spans="3:4" x14ac:dyDescent="0.35">
      <c r="C311" s="17" t="s">
        <v>22</v>
      </c>
      <c r="D311" s="45">
        <v>35</v>
      </c>
    </row>
    <row r="312" spans="3:4" x14ac:dyDescent="0.35">
      <c r="C312" s="17" t="s">
        <v>34</v>
      </c>
      <c r="D312" s="45">
        <v>20</v>
      </c>
    </row>
    <row r="313" spans="3:4" x14ac:dyDescent="0.35">
      <c r="C313" s="17" t="s">
        <v>42</v>
      </c>
      <c r="D313" s="45">
        <v>25</v>
      </c>
    </row>
    <row r="314" spans="3:4" x14ac:dyDescent="0.35">
      <c r="C314" s="17" t="s">
        <v>433</v>
      </c>
      <c r="D314" s="45">
        <v>100</v>
      </c>
    </row>
    <row r="318" spans="3:4" ht="15.5" x14ac:dyDescent="0.35">
      <c r="C318" s="30" t="s">
        <v>690</v>
      </c>
    </row>
    <row r="321" spans="3:5" x14ac:dyDescent="0.35">
      <c r="C321" s="16" t="s">
        <v>435</v>
      </c>
      <c r="D321" s="16" t="s">
        <v>665</v>
      </c>
    </row>
    <row r="322" spans="3:5" x14ac:dyDescent="0.35">
      <c r="C322" s="16" t="s">
        <v>432</v>
      </c>
      <c r="D322" t="s">
        <v>264</v>
      </c>
      <c r="E322" t="s">
        <v>263</v>
      </c>
    </row>
    <row r="323" spans="3:5" x14ac:dyDescent="0.35">
      <c r="C323" s="17" t="s">
        <v>272</v>
      </c>
      <c r="D323">
        <v>10394000</v>
      </c>
      <c r="E323">
        <v>932000</v>
      </c>
    </row>
    <row r="324" spans="3:5" x14ac:dyDescent="0.35">
      <c r="C324" s="17" t="s">
        <v>274</v>
      </c>
      <c r="D324">
        <v>1573000</v>
      </c>
      <c r="E324">
        <v>14269000</v>
      </c>
    </row>
    <row r="325" spans="3:5" x14ac:dyDescent="0.35">
      <c r="C325" s="17" t="s">
        <v>270</v>
      </c>
      <c r="D325">
        <v>8643000</v>
      </c>
    </row>
    <row r="326" spans="3:5" x14ac:dyDescent="0.35">
      <c r="C326" s="17" t="s">
        <v>269</v>
      </c>
      <c r="D326">
        <v>11128000</v>
      </c>
      <c r="E326">
        <v>9380000</v>
      </c>
    </row>
    <row r="327" spans="3:5" x14ac:dyDescent="0.35">
      <c r="C327" s="17" t="s">
        <v>273</v>
      </c>
      <c r="D327">
        <v>3122000</v>
      </c>
      <c r="E327">
        <v>11483000</v>
      </c>
    </row>
    <row r="328" spans="3:5" x14ac:dyDescent="0.35">
      <c r="C328" s="17" t="s">
        <v>271</v>
      </c>
      <c r="D328">
        <v>1838000</v>
      </c>
      <c r="E328">
        <v>13209000</v>
      </c>
    </row>
  </sheetData>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1163-99E2-44B2-9A34-8E40DF5B4BEC}">
  <dimension ref="A1:P36"/>
  <sheetViews>
    <sheetView showGridLines="0" zoomScale="56" zoomScaleNormal="60" workbookViewId="0">
      <selection activeCell="S10" sqref="S10"/>
    </sheetView>
  </sheetViews>
  <sheetFormatPr defaultRowHeight="14.5" x14ac:dyDescent="0.35"/>
  <sheetData>
    <row r="1" spans="1:16" x14ac:dyDescent="0.35">
      <c r="A1" s="36" t="s">
        <v>691</v>
      </c>
      <c r="B1" s="37"/>
      <c r="C1" s="37"/>
      <c r="D1" s="37"/>
      <c r="E1" s="37"/>
      <c r="F1" s="37"/>
      <c r="G1" s="37"/>
      <c r="H1" s="37"/>
      <c r="I1" s="37"/>
      <c r="J1" s="37"/>
      <c r="K1" s="37"/>
      <c r="L1" s="37"/>
      <c r="M1" s="37"/>
      <c r="N1" s="37"/>
      <c r="O1" s="37"/>
      <c r="P1" s="38"/>
    </row>
    <row r="2" spans="1:16" x14ac:dyDescent="0.35">
      <c r="A2" s="39"/>
      <c r="B2" s="40"/>
      <c r="C2" s="40"/>
      <c r="D2" s="40"/>
      <c r="E2" s="40"/>
      <c r="F2" s="40"/>
      <c r="G2" s="40"/>
      <c r="H2" s="40"/>
      <c r="I2" s="40"/>
      <c r="J2" s="40"/>
      <c r="K2" s="40"/>
      <c r="L2" s="40"/>
      <c r="M2" s="40"/>
      <c r="N2" s="40"/>
      <c r="O2" s="40"/>
      <c r="P2" s="41"/>
    </row>
    <row r="3" spans="1:16" ht="15" thickBot="1" x14ac:dyDescent="0.4">
      <c r="A3" s="42"/>
      <c r="B3" s="43"/>
      <c r="C3" s="43"/>
      <c r="D3" s="43"/>
      <c r="E3" s="43"/>
      <c r="F3" s="43"/>
      <c r="G3" s="43"/>
      <c r="H3" s="43"/>
      <c r="I3" s="43"/>
      <c r="J3" s="43"/>
      <c r="K3" s="43"/>
      <c r="L3" s="43"/>
      <c r="M3" s="43"/>
      <c r="N3" s="43"/>
      <c r="O3" s="43"/>
      <c r="P3" s="44"/>
    </row>
    <row r="4" spans="1:16" x14ac:dyDescent="0.35">
      <c r="A4" s="31"/>
      <c r="P4" s="32"/>
    </row>
    <row r="5" spans="1:16" x14ac:dyDescent="0.35">
      <c r="A5" s="31"/>
      <c r="P5" s="32"/>
    </row>
    <row r="6" spans="1:16" x14ac:dyDescent="0.35">
      <c r="A6" s="31"/>
      <c r="P6" s="32"/>
    </row>
    <row r="7" spans="1:16" x14ac:dyDescent="0.35">
      <c r="A7" s="31"/>
      <c r="P7" s="32"/>
    </row>
    <row r="8" spans="1:16" x14ac:dyDescent="0.35">
      <c r="A8" s="31"/>
      <c r="P8" s="32"/>
    </row>
    <row r="9" spans="1:16" x14ac:dyDescent="0.35">
      <c r="A9" s="31"/>
      <c r="P9" s="32"/>
    </row>
    <row r="10" spans="1:16" x14ac:dyDescent="0.35">
      <c r="A10" s="31"/>
      <c r="P10" s="32"/>
    </row>
    <row r="11" spans="1:16" x14ac:dyDescent="0.35">
      <c r="A11" s="31"/>
      <c r="P11" s="32"/>
    </row>
    <row r="12" spans="1:16" x14ac:dyDescent="0.35">
      <c r="A12" s="31"/>
      <c r="P12" s="32"/>
    </row>
    <row r="13" spans="1:16" x14ac:dyDescent="0.35">
      <c r="A13" s="31"/>
      <c r="P13" s="32"/>
    </row>
    <row r="14" spans="1:16" x14ac:dyDescent="0.35">
      <c r="A14" s="31"/>
      <c r="P14" s="32"/>
    </row>
    <row r="15" spans="1:16" x14ac:dyDescent="0.35">
      <c r="A15" s="31"/>
      <c r="P15" s="32"/>
    </row>
    <row r="16" spans="1:16" x14ac:dyDescent="0.35">
      <c r="A16" s="31"/>
      <c r="P16" s="32"/>
    </row>
    <row r="17" spans="1:16" x14ac:dyDescent="0.35">
      <c r="A17" s="31"/>
      <c r="P17" s="32"/>
    </row>
    <row r="18" spans="1:16" x14ac:dyDescent="0.35">
      <c r="A18" s="31"/>
      <c r="P18" s="32"/>
    </row>
    <row r="19" spans="1:16" x14ac:dyDescent="0.35">
      <c r="A19" s="31"/>
      <c r="P19" s="32"/>
    </row>
    <row r="20" spans="1:16" x14ac:dyDescent="0.35">
      <c r="A20" s="31"/>
      <c r="P20" s="32"/>
    </row>
    <row r="21" spans="1:16" x14ac:dyDescent="0.35">
      <c r="A21" s="31"/>
      <c r="P21" s="32"/>
    </row>
    <row r="22" spans="1:16" x14ac:dyDescent="0.35">
      <c r="A22" s="31"/>
      <c r="P22" s="32"/>
    </row>
    <row r="23" spans="1:16" x14ac:dyDescent="0.35">
      <c r="A23" s="31"/>
      <c r="P23" s="32"/>
    </row>
    <row r="24" spans="1:16" x14ac:dyDescent="0.35">
      <c r="A24" s="31"/>
      <c r="P24" s="32"/>
    </row>
    <row r="25" spans="1:16" x14ac:dyDescent="0.35">
      <c r="A25" s="31"/>
      <c r="P25" s="32"/>
    </row>
    <row r="26" spans="1:16" x14ac:dyDescent="0.35">
      <c r="A26" s="31"/>
      <c r="P26" s="32"/>
    </row>
    <row r="27" spans="1:16" x14ac:dyDescent="0.35">
      <c r="A27" s="31"/>
      <c r="P27" s="32"/>
    </row>
    <row r="28" spans="1:16" x14ac:dyDescent="0.35">
      <c r="A28" s="31"/>
      <c r="P28" s="32"/>
    </row>
    <row r="29" spans="1:16" x14ac:dyDescent="0.35">
      <c r="A29" s="31"/>
      <c r="P29" s="32"/>
    </row>
    <row r="30" spans="1:16" x14ac:dyDescent="0.35">
      <c r="A30" s="31"/>
      <c r="P30" s="32"/>
    </row>
    <row r="31" spans="1:16" x14ac:dyDescent="0.35">
      <c r="A31" s="31"/>
      <c r="P31" s="32"/>
    </row>
    <row r="32" spans="1:16" x14ac:dyDescent="0.35">
      <c r="A32" s="31"/>
      <c r="P32" s="32"/>
    </row>
    <row r="33" spans="1:16" x14ac:dyDescent="0.35">
      <c r="A33" s="31"/>
      <c r="P33" s="32"/>
    </row>
    <row r="34" spans="1:16" x14ac:dyDescent="0.35">
      <c r="A34" s="31"/>
      <c r="P34" s="32"/>
    </row>
    <row r="35" spans="1:16" x14ac:dyDescent="0.35">
      <c r="A35" s="31"/>
      <c r="P35" s="32"/>
    </row>
    <row r="36" spans="1:16" ht="15" thickBot="1" x14ac:dyDescent="0.4">
      <c r="A36" s="33"/>
      <c r="B36" s="34"/>
      <c r="C36" s="34"/>
      <c r="D36" s="34"/>
      <c r="E36" s="34"/>
      <c r="F36" s="34"/>
      <c r="G36" s="34"/>
      <c r="H36" s="34"/>
      <c r="I36" s="34"/>
      <c r="J36" s="34"/>
      <c r="K36" s="34"/>
      <c r="L36" s="34"/>
      <c r="M36" s="34"/>
      <c r="N36" s="34"/>
      <c r="O36" s="34"/>
      <c r="P36" s="35"/>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HR_Data</vt:lpstr>
      <vt:lpstr>Dept_Info</vt:lpstr>
      <vt:lpstr>Emp_Info</vt:lpstr>
      <vt:lpstr>Class_3_File</vt:lpstr>
      <vt:lpstr>Dashboard</vt:lpstr>
      <vt:lpstr>Emp_Data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Scaletrix Comms</dc:creator>
  <cp:lastModifiedBy>Bhoomika jakhar</cp:lastModifiedBy>
  <dcterms:created xsi:type="dcterms:W3CDTF">2026-07-17T12:49:39Z</dcterms:created>
  <dcterms:modified xsi:type="dcterms:W3CDTF">2026-07-31T17:09:47Z</dcterms:modified>
</cp:coreProperties>
</file>